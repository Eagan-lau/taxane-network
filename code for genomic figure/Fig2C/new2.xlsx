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en\Desktop\文章\SI\Figure2\Fig2C\new\"/>
    </mc:Choice>
  </mc:AlternateContent>
  <xr:revisionPtr revIDLastSave="0" documentId="13_ncr:1_{6107F334-B104-45AE-B65D-F2CBAD5CC7F4}" xr6:coauthVersionLast="47" xr6:coauthVersionMax="47" xr10:uidLastSave="{00000000-0000-0000-0000-000000000000}"/>
  <bookViews>
    <workbookView xWindow="-30828" yWindow="10008" windowWidth="30936" windowHeight="16776" xr2:uid="{7A3FEE33-7643-43B9-B2C4-EBF141CDA01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" i="2"/>
  <c r="O4" i="2"/>
  <c r="P4" i="2"/>
  <c r="Q4" i="2"/>
  <c r="O5" i="2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O13" i="2"/>
  <c r="P13" i="2"/>
  <c r="Q13" i="2"/>
  <c r="O14" i="2"/>
  <c r="P14" i="2"/>
  <c r="Q14" i="2"/>
  <c r="O15" i="2"/>
  <c r="P15" i="2"/>
  <c r="Q15" i="2"/>
  <c r="O16" i="2"/>
  <c r="P16" i="2"/>
  <c r="Q16" i="2"/>
  <c r="O17" i="2"/>
  <c r="P17" i="2"/>
  <c r="Q17" i="2"/>
  <c r="O18" i="2"/>
  <c r="P18" i="2"/>
  <c r="Q18" i="2"/>
  <c r="O19" i="2"/>
  <c r="P19" i="2"/>
  <c r="Q19" i="2"/>
  <c r="O20" i="2"/>
  <c r="P20" i="2"/>
  <c r="Q20" i="2"/>
  <c r="O21" i="2"/>
  <c r="P21" i="2"/>
  <c r="Q21" i="2"/>
  <c r="O22" i="2"/>
  <c r="P22" i="2"/>
  <c r="Q22" i="2"/>
  <c r="O23" i="2"/>
  <c r="P23" i="2"/>
  <c r="Q23" i="2"/>
  <c r="O24" i="2"/>
  <c r="P24" i="2"/>
  <c r="Q24" i="2"/>
  <c r="O25" i="2"/>
  <c r="P25" i="2"/>
  <c r="Q25" i="2"/>
  <c r="O26" i="2"/>
  <c r="P26" i="2"/>
  <c r="Q26" i="2"/>
  <c r="O27" i="2"/>
  <c r="P27" i="2"/>
  <c r="Q27" i="2"/>
  <c r="O28" i="2"/>
  <c r="P28" i="2"/>
  <c r="Q28" i="2"/>
  <c r="O29" i="2"/>
  <c r="P29" i="2"/>
  <c r="Q29" i="2"/>
  <c r="O30" i="2"/>
  <c r="P30" i="2"/>
  <c r="Q30" i="2"/>
  <c r="O31" i="2"/>
  <c r="P31" i="2"/>
  <c r="Q31" i="2"/>
  <c r="O32" i="2"/>
  <c r="P32" i="2"/>
  <c r="Q32" i="2"/>
  <c r="O33" i="2"/>
  <c r="P33" i="2"/>
  <c r="Q33" i="2"/>
  <c r="O34" i="2"/>
  <c r="P34" i="2"/>
  <c r="Q34" i="2"/>
  <c r="O35" i="2"/>
  <c r="P35" i="2"/>
  <c r="Q35" i="2"/>
  <c r="O36" i="2"/>
  <c r="P36" i="2"/>
  <c r="Q36" i="2"/>
  <c r="O37" i="2"/>
  <c r="P37" i="2"/>
  <c r="Q37" i="2"/>
  <c r="O3" i="2"/>
  <c r="P3" i="2"/>
  <c r="Q3" i="2"/>
</calcChain>
</file>

<file path=xl/sharedStrings.xml><?xml version="1.0" encoding="utf-8"?>
<sst xmlns="http://schemas.openxmlformats.org/spreadsheetml/2006/main" count="18" uniqueCount="18">
  <si>
    <t>Gene Number</t>
  </si>
  <si>
    <t>Hap2 number</t>
  </si>
  <si>
    <t>Total pair</t>
  </si>
  <si>
    <t>Hap1 Vs Hap1 pair</t>
  </si>
  <si>
    <t>Hap2 Vs Hap2 pair</t>
  </si>
  <si>
    <t>Hap1 Vs Hap2 pair</t>
  </si>
  <si>
    <t>100% similary Pair-all</t>
  </si>
  <si>
    <t>100% similary Pair-Hap1 Vs Hap1</t>
  </si>
  <si>
    <t>100% similary Pair-Hap2 vs Hap2</t>
  </si>
  <si>
    <t>100% similary Pair-Hap1 vs Hap2</t>
  </si>
  <si>
    <t>Frequency</t>
  </si>
  <si>
    <t>Hap1 number</t>
    <phoneticPr fontId="1" type="noConversion"/>
  </si>
  <si>
    <t xml:space="preserve">Hap1 </t>
  </si>
  <si>
    <t>Hap2</t>
  </si>
  <si>
    <t>Hap1-1</t>
    <phoneticPr fontId="1" type="noConversion"/>
  </si>
  <si>
    <t>Hap1-2</t>
    <phoneticPr fontId="1" type="noConversion"/>
  </si>
  <si>
    <t>Hap2-2</t>
    <phoneticPr fontId="1" type="noConversion"/>
  </si>
  <si>
    <t>others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</si>
</sst>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988E-E74E-4710-A3C8-B0371FDDE9E7}">
  <dimension ref="A1:R37"/>
  <sheetViews>
    <sheetView tabSelected="1" workbookViewId="0">
      <selection sqref="A1:N1"/>
    </sheetView>
  </sheetViews>
  <sheetFormatPr defaultRowHeight="14.1" x14ac:dyDescent="0.5"/>
  <cols>
    <col min="1" max="1" width="8.796875" style="1"/>
    <col min="2" max="3" width="8.796875" style="2"/>
    <col min="6" max="6" width="10.09765625" customWidth="1"/>
    <col min="10" max="10" width="15.19921875" customWidth="1"/>
    <col min="11" max="11" width="14.296875" style="3" customWidth="1"/>
    <col min="12" max="12" width="15.19921875" style="3" customWidth="1"/>
    <col min="13" max="13" width="28.3984375" style="3" customWidth="1"/>
    <col min="14" max="14" width="8.796875" style="1"/>
    <col min="15" max="18" width="8.796875" style="4"/>
  </cols>
  <sheetData>
    <row r="1" spans="1:18" x14ac:dyDescent="0.5">
      <c r="A1" s="1" t="s">
        <v>0</v>
      </c>
      <c r="B1" s="2" t="s">
        <v>12</v>
      </c>
      <c r="C1" s="2" t="s">
        <v>13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s="3" t="s">
        <v>7</v>
      </c>
      <c r="L1" s="3" t="s">
        <v>8</v>
      </c>
      <c r="M1" s="3" t="s">
        <v>9</v>
      </c>
      <c r="N1" s="1" t="s">
        <v>10</v>
      </c>
      <c r="O1" s="4" t="s">
        <v>14</v>
      </c>
      <c r="P1" s="4" t="s">
        <v>16</v>
      </c>
      <c r="Q1" s="4" t="s">
        <v>15</v>
      </c>
      <c r="R1" s="4" t="s">
        <v>17</v>
      </c>
    </row>
    <row r="2" spans="1:18" x14ac:dyDescent="0.5">
      <c r="A2" s="1">
        <v>1</v>
      </c>
      <c r="B2" s="2">
        <v>0.53221908981071286</v>
      </c>
      <c r="C2" s="2">
        <v>0.46778091018928714</v>
      </c>
      <c r="D2">
        <v>2643</v>
      </c>
      <c r="E2">
        <v>2323</v>
      </c>
      <c r="F2">
        <v>0</v>
      </c>
      <c r="G2">
        <v>0</v>
      </c>
      <c r="H2">
        <v>0</v>
      </c>
      <c r="I2">
        <v>0</v>
      </c>
      <c r="J2">
        <v>0</v>
      </c>
      <c r="K2" s="3">
        <v>0</v>
      </c>
      <c r="L2" s="3">
        <v>0</v>
      </c>
      <c r="M2" s="3">
        <v>0</v>
      </c>
      <c r="N2" s="1">
        <v>4966</v>
      </c>
      <c r="O2" s="4">
        <v>0</v>
      </c>
      <c r="P2" s="4">
        <v>0</v>
      </c>
      <c r="Q2" s="4">
        <v>0</v>
      </c>
      <c r="R2" s="4">
        <v>0</v>
      </c>
    </row>
    <row r="3" spans="1:18" x14ac:dyDescent="0.5">
      <c r="A3" s="1">
        <v>2</v>
      </c>
      <c r="B3" s="2">
        <v>0.50103871098500208</v>
      </c>
      <c r="C3" s="2">
        <v>0.49896128901499792</v>
      </c>
      <c r="D3">
        <v>19777</v>
      </c>
      <c r="E3">
        <v>19695</v>
      </c>
      <c r="F3">
        <v>19736</v>
      </c>
      <c r="G3">
        <v>105</v>
      </c>
      <c r="H3">
        <v>64</v>
      </c>
      <c r="I3">
        <v>19567</v>
      </c>
      <c r="J3">
        <v>8483</v>
      </c>
      <c r="K3" s="3">
        <v>24</v>
      </c>
      <c r="L3" s="3">
        <v>12</v>
      </c>
      <c r="M3" s="3">
        <v>8447</v>
      </c>
      <c r="N3" s="1">
        <v>19736</v>
      </c>
      <c r="O3" s="4">
        <f>K3/F3</f>
        <v>1.2160518848804217E-3</v>
      </c>
      <c r="P3" s="4">
        <f>L3/F3</f>
        <v>6.0802594244021083E-4</v>
      </c>
      <c r="Q3" s="4">
        <f>M3/F3</f>
        <v>0.42799959464937171</v>
      </c>
      <c r="R3" s="4">
        <f>1-O3-P3-Q3</f>
        <v>0.5701763275233076</v>
      </c>
    </row>
    <row r="4" spans="1:18" x14ac:dyDescent="0.5">
      <c r="A4" s="1">
        <v>3</v>
      </c>
      <c r="B4" s="2">
        <v>0.5188866799204771</v>
      </c>
      <c r="C4" s="2">
        <v>0.4811133200795229</v>
      </c>
      <c r="D4">
        <v>783</v>
      </c>
      <c r="E4">
        <v>726</v>
      </c>
      <c r="F4">
        <v>1509</v>
      </c>
      <c r="G4">
        <v>317</v>
      </c>
      <c r="H4">
        <v>260</v>
      </c>
      <c r="I4">
        <v>932</v>
      </c>
      <c r="J4">
        <v>191</v>
      </c>
      <c r="K4" s="3">
        <v>41</v>
      </c>
      <c r="L4" s="3">
        <v>33</v>
      </c>
      <c r="M4" s="3">
        <v>117</v>
      </c>
      <c r="N4" s="1">
        <v>503</v>
      </c>
      <c r="O4" s="4">
        <f t="shared" ref="O4:O37" si="0">K4/F4</f>
        <v>2.7170311464546057E-2</v>
      </c>
      <c r="P4" s="4">
        <f t="shared" ref="P4:P37" si="1">L4/F4</f>
        <v>2.186878727634195E-2</v>
      </c>
      <c r="Q4" s="4">
        <f t="shared" ref="Q4:Q37" si="2">M4/F4</f>
        <v>7.7534791252485094E-2</v>
      </c>
      <c r="R4" s="4">
        <f t="shared" ref="R4:R37" si="3">1-O4-P4-Q4</f>
        <v>0.87342611000662695</v>
      </c>
    </row>
    <row r="5" spans="1:18" x14ac:dyDescent="0.5">
      <c r="A5" s="1">
        <v>4</v>
      </c>
      <c r="B5" s="2">
        <v>0.50338365434669441</v>
      </c>
      <c r="C5" s="2">
        <v>0.49661634565330559</v>
      </c>
      <c r="D5">
        <v>3868</v>
      </c>
      <c r="E5">
        <v>3816</v>
      </c>
      <c r="F5">
        <v>11526</v>
      </c>
      <c r="G5">
        <v>2016</v>
      </c>
      <c r="H5">
        <v>1938</v>
      </c>
      <c r="I5">
        <v>7572</v>
      </c>
      <c r="J5">
        <v>3263</v>
      </c>
      <c r="K5" s="3">
        <v>537</v>
      </c>
      <c r="L5" s="3">
        <v>534</v>
      </c>
      <c r="M5" s="3">
        <v>2192</v>
      </c>
      <c r="N5" s="1">
        <v>1921</v>
      </c>
      <c r="O5" s="4">
        <f t="shared" si="0"/>
        <v>4.6590317542946381E-2</v>
      </c>
      <c r="P5" s="4">
        <f t="shared" si="1"/>
        <v>4.6330036439354502E-2</v>
      </c>
      <c r="Q5" s="4">
        <f t="shared" si="2"/>
        <v>0.19017872635779975</v>
      </c>
      <c r="R5" s="4">
        <f t="shared" si="3"/>
        <v>0.71690091965989933</v>
      </c>
    </row>
    <row r="6" spans="1:18" x14ac:dyDescent="0.5">
      <c r="A6" s="1">
        <v>5</v>
      </c>
      <c r="B6" s="2">
        <v>0.50994152046783625</v>
      </c>
      <c r="C6" s="2">
        <v>0.49005847953216375</v>
      </c>
      <c r="D6">
        <v>436</v>
      </c>
      <c r="E6">
        <v>419</v>
      </c>
      <c r="F6">
        <v>1710</v>
      </c>
      <c r="G6">
        <v>398</v>
      </c>
      <c r="H6">
        <v>364</v>
      </c>
      <c r="I6">
        <v>948</v>
      </c>
      <c r="J6">
        <v>130</v>
      </c>
      <c r="K6" s="3">
        <v>19</v>
      </c>
      <c r="L6" s="3">
        <v>24</v>
      </c>
      <c r="M6" s="3">
        <v>87</v>
      </c>
      <c r="N6" s="1">
        <v>171</v>
      </c>
      <c r="O6" s="4">
        <f t="shared" si="0"/>
        <v>1.1111111111111112E-2</v>
      </c>
      <c r="P6" s="4">
        <f t="shared" si="1"/>
        <v>1.4035087719298246E-2</v>
      </c>
      <c r="Q6" s="4">
        <f t="shared" si="2"/>
        <v>5.0877192982456139E-2</v>
      </c>
      <c r="R6" s="4">
        <f t="shared" si="3"/>
        <v>0.92397660818713445</v>
      </c>
    </row>
    <row r="7" spans="1:18" x14ac:dyDescent="0.5">
      <c r="A7" s="1">
        <v>6</v>
      </c>
      <c r="B7" s="2">
        <v>0.50681198910081748</v>
      </c>
      <c r="C7" s="2">
        <v>0.49318801089918252</v>
      </c>
      <c r="D7">
        <v>1116</v>
      </c>
      <c r="E7">
        <v>1086</v>
      </c>
      <c r="F7">
        <v>5505</v>
      </c>
      <c r="G7">
        <v>1191</v>
      </c>
      <c r="H7">
        <v>1116</v>
      </c>
      <c r="I7">
        <v>3198</v>
      </c>
      <c r="J7">
        <v>1172</v>
      </c>
      <c r="K7" s="3">
        <v>236</v>
      </c>
      <c r="L7" s="3">
        <v>224</v>
      </c>
      <c r="M7" s="3">
        <v>712</v>
      </c>
      <c r="N7" s="1">
        <v>367</v>
      </c>
      <c r="O7" s="4">
        <f t="shared" si="0"/>
        <v>4.2870118074477749E-2</v>
      </c>
      <c r="P7" s="4">
        <f t="shared" si="1"/>
        <v>4.0690281562216164E-2</v>
      </c>
      <c r="Q7" s="4">
        <f t="shared" si="2"/>
        <v>0.1293369663941871</v>
      </c>
      <c r="R7" s="4">
        <f t="shared" si="3"/>
        <v>0.78710263396911895</v>
      </c>
    </row>
    <row r="8" spans="1:18" x14ac:dyDescent="0.5">
      <c r="A8" s="1">
        <v>7</v>
      </c>
      <c r="B8" s="2">
        <v>0.50420168067226889</v>
      </c>
      <c r="C8" s="2">
        <v>0.49579831932773111</v>
      </c>
      <c r="D8">
        <v>240</v>
      </c>
      <c r="E8">
        <v>236</v>
      </c>
      <c r="F8">
        <v>1428</v>
      </c>
      <c r="G8">
        <v>334</v>
      </c>
      <c r="H8">
        <v>322</v>
      </c>
      <c r="I8">
        <v>772</v>
      </c>
      <c r="J8">
        <v>118</v>
      </c>
      <c r="K8" s="3">
        <v>15</v>
      </c>
      <c r="L8" s="3">
        <v>31</v>
      </c>
      <c r="M8" s="3">
        <v>72</v>
      </c>
      <c r="N8" s="1">
        <v>68</v>
      </c>
      <c r="O8" s="4">
        <f t="shared" si="0"/>
        <v>1.050420168067227E-2</v>
      </c>
      <c r="P8" s="4">
        <f t="shared" si="1"/>
        <v>2.1708683473389355E-2</v>
      </c>
      <c r="Q8" s="4">
        <f t="shared" si="2"/>
        <v>5.0420168067226892E-2</v>
      </c>
      <c r="R8" s="4">
        <f t="shared" si="3"/>
        <v>0.91736694677871145</v>
      </c>
    </row>
    <row r="9" spans="1:18" x14ac:dyDescent="0.5">
      <c r="A9" s="1">
        <v>8</v>
      </c>
      <c r="B9" s="2">
        <v>0.51321138211382111</v>
      </c>
      <c r="C9" s="2">
        <v>0.48678861788617889</v>
      </c>
      <c r="D9">
        <v>505</v>
      </c>
      <c r="E9">
        <v>479</v>
      </c>
      <c r="F9">
        <v>3444</v>
      </c>
      <c r="G9">
        <v>831</v>
      </c>
      <c r="H9">
        <v>740</v>
      </c>
      <c r="I9">
        <v>1873</v>
      </c>
      <c r="J9">
        <v>530</v>
      </c>
      <c r="K9" s="3">
        <v>112</v>
      </c>
      <c r="L9" s="3">
        <v>114</v>
      </c>
      <c r="M9" s="3">
        <v>304</v>
      </c>
      <c r="N9" s="1">
        <v>123</v>
      </c>
      <c r="O9" s="4">
        <f t="shared" si="0"/>
        <v>3.2520325203252036E-2</v>
      </c>
      <c r="P9" s="4">
        <f t="shared" si="1"/>
        <v>3.3101045296167246E-2</v>
      </c>
      <c r="Q9" s="4">
        <f t="shared" si="2"/>
        <v>8.8269454123112656E-2</v>
      </c>
      <c r="R9" s="4">
        <f t="shared" si="3"/>
        <v>0.8461091753774681</v>
      </c>
    </row>
    <row r="10" spans="1:18" x14ac:dyDescent="0.5">
      <c r="A10" s="1">
        <v>9</v>
      </c>
      <c r="B10" s="2">
        <v>0.50653594771241828</v>
      </c>
      <c r="C10" s="2">
        <v>0.49346405228758172</v>
      </c>
      <c r="D10">
        <v>155</v>
      </c>
      <c r="E10">
        <v>151</v>
      </c>
      <c r="F10">
        <v>1224</v>
      </c>
      <c r="G10">
        <v>310</v>
      </c>
      <c r="H10">
        <v>294</v>
      </c>
      <c r="I10">
        <v>620</v>
      </c>
      <c r="J10">
        <v>150</v>
      </c>
      <c r="K10" s="3">
        <v>54</v>
      </c>
      <c r="L10" s="3">
        <v>27</v>
      </c>
      <c r="M10" s="3">
        <v>69</v>
      </c>
      <c r="N10" s="1">
        <v>34</v>
      </c>
      <c r="O10" s="4">
        <f t="shared" si="0"/>
        <v>4.4117647058823532E-2</v>
      </c>
      <c r="P10" s="4">
        <f t="shared" si="1"/>
        <v>2.2058823529411766E-2</v>
      </c>
      <c r="Q10" s="4">
        <f t="shared" si="2"/>
        <v>5.6372549019607844E-2</v>
      </c>
      <c r="R10" s="4">
        <f t="shared" si="3"/>
        <v>0.87745098039215685</v>
      </c>
    </row>
    <row r="11" spans="1:18" x14ac:dyDescent="0.5">
      <c r="A11" s="1">
        <v>10</v>
      </c>
      <c r="B11" s="2">
        <v>0.48518518518518516</v>
      </c>
      <c r="C11" s="2">
        <v>0.51481481481481484</v>
      </c>
      <c r="D11">
        <v>262</v>
      </c>
      <c r="E11">
        <v>278</v>
      </c>
      <c r="F11">
        <v>2430</v>
      </c>
      <c r="G11">
        <v>536</v>
      </c>
      <c r="H11">
        <v>608</v>
      </c>
      <c r="I11">
        <v>1286</v>
      </c>
      <c r="J11">
        <v>377</v>
      </c>
      <c r="K11" s="3">
        <v>76</v>
      </c>
      <c r="L11" s="3">
        <v>94</v>
      </c>
      <c r="M11" s="3">
        <v>207</v>
      </c>
      <c r="N11" s="1">
        <v>54</v>
      </c>
      <c r="O11" s="4">
        <f t="shared" si="0"/>
        <v>3.1275720164609055E-2</v>
      </c>
      <c r="P11" s="4">
        <f t="shared" si="1"/>
        <v>3.868312757201646E-2</v>
      </c>
      <c r="Q11" s="4">
        <f t="shared" si="2"/>
        <v>8.5185185185185183E-2</v>
      </c>
      <c r="R11" s="4">
        <f t="shared" si="3"/>
        <v>0.84485596707818944</v>
      </c>
    </row>
    <row r="12" spans="1:18" x14ac:dyDescent="0.5">
      <c r="A12" s="1">
        <v>11</v>
      </c>
      <c r="B12" s="2">
        <v>0.50181818181818183</v>
      </c>
      <c r="C12" s="2">
        <v>0.49818181818181817</v>
      </c>
      <c r="D12">
        <v>138</v>
      </c>
      <c r="E12">
        <v>137</v>
      </c>
      <c r="F12">
        <v>1375</v>
      </c>
      <c r="G12">
        <v>342</v>
      </c>
      <c r="H12">
        <v>337</v>
      </c>
      <c r="I12">
        <v>696</v>
      </c>
      <c r="J12">
        <v>73</v>
      </c>
      <c r="K12" s="3">
        <v>23</v>
      </c>
      <c r="L12" s="3">
        <v>8</v>
      </c>
      <c r="M12" s="3">
        <v>42</v>
      </c>
      <c r="N12" s="1">
        <v>25</v>
      </c>
      <c r="O12" s="4">
        <f t="shared" si="0"/>
        <v>1.6727272727272726E-2</v>
      </c>
      <c r="P12" s="4">
        <f t="shared" si="1"/>
        <v>5.8181818181818178E-3</v>
      </c>
      <c r="Q12" s="4">
        <f t="shared" si="2"/>
        <v>3.0545454545454546E-2</v>
      </c>
      <c r="R12" s="4">
        <f t="shared" si="3"/>
        <v>0.94690909090909092</v>
      </c>
    </row>
    <row r="13" spans="1:18" x14ac:dyDescent="0.5">
      <c r="A13" s="1">
        <v>12</v>
      </c>
      <c r="B13" s="2">
        <v>0.50666666666666671</v>
      </c>
      <c r="C13" s="2">
        <v>0.49333333333333329</v>
      </c>
      <c r="D13">
        <v>152</v>
      </c>
      <c r="E13">
        <v>148</v>
      </c>
      <c r="F13">
        <v>1650</v>
      </c>
      <c r="G13">
        <v>404</v>
      </c>
      <c r="H13">
        <v>382</v>
      </c>
      <c r="I13">
        <v>864</v>
      </c>
      <c r="J13">
        <v>264</v>
      </c>
      <c r="K13" s="3">
        <v>67</v>
      </c>
      <c r="L13" s="3">
        <v>51</v>
      </c>
      <c r="M13" s="3">
        <v>146</v>
      </c>
      <c r="N13" s="1">
        <v>25</v>
      </c>
      <c r="O13" s="4">
        <f t="shared" si="0"/>
        <v>4.0606060606060604E-2</v>
      </c>
      <c r="P13" s="4">
        <f t="shared" si="1"/>
        <v>3.090909090909091E-2</v>
      </c>
      <c r="Q13" s="4">
        <f t="shared" si="2"/>
        <v>8.8484848484848486E-2</v>
      </c>
      <c r="R13" s="4">
        <f t="shared" si="3"/>
        <v>0.84</v>
      </c>
    </row>
    <row r="14" spans="1:18" x14ac:dyDescent="0.5">
      <c r="A14" s="1">
        <v>13</v>
      </c>
      <c r="B14" s="2">
        <v>0.53846153846153844</v>
      </c>
      <c r="C14" s="2">
        <v>0.46153846153846156</v>
      </c>
      <c r="D14">
        <v>98</v>
      </c>
      <c r="E14">
        <v>84</v>
      </c>
      <c r="F14">
        <v>1092</v>
      </c>
      <c r="G14">
        <v>306</v>
      </c>
      <c r="H14">
        <v>222</v>
      </c>
      <c r="I14">
        <v>564</v>
      </c>
      <c r="J14">
        <v>51</v>
      </c>
      <c r="K14" s="3">
        <v>23</v>
      </c>
      <c r="L14" s="3">
        <v>5</v>
      </c>
      <c r="M14" s="3">
        <v>23</v>
      </c>
      <c r="N14" s="1">
        <v>14</v>
      </c>
      <c r="O14" s="4">
        <f t="shared" si="0"/>
        <v>2.1062271062271064E-2</v>
      </c>
      <c r="P14" s="4">
        <f t="shared" si="1"/>
        <v>4.578754578754579E-3</v>
      </c>
      <c r="Q14" s="4">
        <f t="shared" si="2"/>
        <v>2.1062271062271064E-2</v>
      </c>
      <c r="R14" s="4">
        <f t="shared" si="3"/>
        <v>0.95329670329670324</v>
      </c>
    </row>
    <row r="15" spans="1:18" x14ac:dyDescent="0.5">
      <c r="A15" s="1">
        <v>14</v>
      </c>
      <c r="B15" s="2">
        <v>0.50952380952380949</v>
      </c>
      <c r="C15" s="2">
        <v>0.49047619047619051</v>
      </c>
      <c r="D15">
        <v>107</v>
      </c>
      <c r="E15">
        <v>103</v>
      </c>
      <c r="F15">
        <v>1365</v>
      </c>
      <c r="G15">
        <v>335</v>
      </c>
      <c r="H15">
        <v>309</v>
      </c>
      <c r="I15">
        <v>721</v>
      </c>
      <c r="J15">
        <v>158</v>
      </c>
      <c r="K15" s="3">
        <v>49</v>
      </c>
      <c r="L15" s="3">
        <v>24</v>
      </c>
      <c r="M15" s="3">
        <v>85</v>
      </c>
      <c r="N15" s="1">
        <v>15</v>
      </c>
      <c r="O15" s="4">
        <f t="shared" si="0"/>
        <v>3.5897435897435895E-2</v>
      </c>
      <c r="P15" s="4">
        <f t="shared" si="1"/>
        <v>1.7582417582417582E-2</v>
      </c>
      <c r="Q15" s="4">
        <f t="shared" si="2"/>
        <v>6.2271062271062272E-2</v>
      </c>
      <c r="R15" s="4">
        <f t="shared" si="3"/>
        <v>0.88424908424908422</v>
      </c>
    </row>
    <row r="16" spans="1:18" x14ac:dyDescent="0.5">
      <c r="A16" s="1">
        <v>15</v>
      </c>
      <c r="B16" s="2">
        <v>0.49523809523809526</v>
      </c>
      <c r="C16" s="2">
        <v>0.50476190476190474</v>
      </c>
      <c r="D16">
        <v>52</v>
      </c>
      <c r="E16">
        <v>53</v>
      </c>
      <c r="F16">
        <v>735</v>
      </c>
      <c r="G16">
        <v>173</v>
      </c>
      <c r="H16">
        <v>180</v>
      </c>
      <c r="I16">
        <v>382</v>
      </c>
      <c r="J16">
        <v>43</v>
      </c>
      <c r="K16" s="3">
        <v>10</v>
      </c>
      <c r="L16" s="3">
        <v>15</v>
      </c>
      <c r="M16" s="3">
        <v>18</v>
      </c>
      <c r="N16" s="1">
        <v>7</v>
      </c>
      <c r="O16" s="4">
        <f t="shared" si="0"/>
        <v>1.3605442176870748E-2</v>
      </c>
      <c r="P16" s="4">
        <f t="shared" si="1"/>
        <v>2.0408163265306121E-2</v>
      </c>
      <c r="Q16" s="4">
        <f t="shared" si="2"/>
        <v>2.4489795918367346E-2</v>
      </c>
      <c r="R16" s="4">
        <f t="shared" si="3"/>
        <v>0.94149659863945578</v>
      </c>
    </row>
    <row r="17" spans="1:18" x14ac:dyDescent="0.5">
      <c r="A17" s="1">
        <v>16</v>
      </c>
      <c r="B17" s="2">
        <v>0.5</v>
      </c>
      <c r="C17" s="2">
        <v>0.5</v>
      </c>
      <c r="D17">
        <v>40</v>
      </c>
      <c r="E17">
        <v>40</v>
      </c>
      <c r="F17">
        <v>600</v>
      </c>
      <c r="G17">
        <v>147</v>
      </c>
      <c r="H17">
        <v>147</v>
      </c>
      <c r="I17">
        <v>306</v>
      </c>
      <c r="J17">
        <v>40</v>
      </c>
      <c r="K17" s="3">
        <v>12</v>
      </c>
      <c r="L17" s="3">
        <v>4</v>
      </c>
      <c r="M17" s="3">
        <v>24</v>
      </c>
      <c r="N17" s="1">
        <v>5</v>
      </c>
      <c r="O17" s="4">
        <f t="shared" si="0"/>
        <v>0.02</v>
      </c>
      <c r="P17" s="4">
        <f t="shared" si="1"/>
        <v>6.6666666666666671E-3</v>
      </c>
      <c r="Q17" s="4">
        <f t="shared" si="2"/>
        <v>0.04</v>
      </c>
      <c r="R17" s="4">
        <f t="shared" si="3"/>
        <v>0.93333333333333324</v>
      </c>
    </row>
    <row r="18" spans="1:18" x14ac:dyDescent="0.5">
      <c r="A18" s="1">
        <v>17</v>
      </c>
      <c r="B18" s="2">
        <v>0.5</v>
      </c>
      <c r="C18" s="2">
        <v>0.5</v>
      </c>
      <c r="D18">
        <v>34</v>
      </c>
      <c r="E18">
        <v>34</v>
      </c>
      <c r="F18">
        <v>544</v>
      </c>
      <c r="G18">
        <v>128</v>
      </c>
      <c r="H18">
        <v>128</v>
      </c>
      <c r="I18">
        <v>288</v>
      </c>
      <c r="J18">
        <v>50</v>
      </c>
      <c r="K18" s="3">
        <v>10</v>
      </c>
      <c r="L18" s="3">
        <v>8</v>
      </c>
      <c r="M18" s="3">
        <v>32</v>
      </c>
      <c r="N18" s="1">
        <v>4</v>
      </c>
      <c r="O18" s="4">
        <f t="shared" si="0"/>
        <v>1.8382352941176471E-2</v>
      </c>
      <c r="P18" s="4">
        <f t="shared" si="1"/>
        <v>1.4705882352941176E-2</v>
      </c>
      <c r="Q18" s="4">
        <f t="shared" si="2"/>
        <v>5.8823529411764705E-2</v>
      </c>
      <c r="R18" s="4">
        <f t="shared" si="3"/>
        <v>0.90808823529411764</v>
      </c>
    </row>
    <row r="19" spans="1:18" x14ac:dyDescent="0.5">
      <c r="A19" s="1">
        <v>18</v>
      </c>
      <c r="B19" s="2">
        <v>0.48412698412698413</v>
      </c>
      <c r="C19" s="2">
        <v>0.51587301587301582</v>
      </c>
      <c r="D19">
        <v>61</v>
      </c>
      <c r="E19">
        <v>65</v>
      </c>
      <c r="F19">
        <v>1071</v>
      </c>
      <c r="G19">
        <v>241</v>
      </c>
      <c r="H19">
        <v>275</v>
      </c>
      <c r="I19">
        <v>555</v>
      </c>
      <c r="J19">
        <v>54</v>
      </c>
      <c r="K19" s="3">
        <v>12</v>
      </c>
      <c r="L19" s="3">
        <v>19</v>
      </c>
      <c r="M19" s="3">
        <v>23</v>
      </c>
      <c r="N19" s="1">
        <v>7</v>
      </c>
      <c r="O19" s="4">
        <f t="shared" si="0"/>
        <v>1.1204481792717087E-2</v>
      </c>
      <c r="P19" s="4">
        <f t="shared" si="1"/>
        <v>1.7740429505135387E-2</v>
      </c>
      <c r="Q19" s="4">
        <f t="shared" si="2"/>
        <v>2.1475256769374416E-2</v>
      </c>
      <c r="R19" s="4">
        <f t="shared" si="3"/>
        <v>0.94957983193277307</v>
      </c>
    </row>
    <row r="20" spans="1:18" x14ac:dyDescent="0.5">
      <c r="A20" s="1">
        <v>19</v>
      </c>
      <c r="B20" s="2">
        <v>0.52631578947368418</v>
      </c>
      <c r="C20" s="2">
        <v>0.47368421052631582</v>
      </c>
      <c r="D20">
        <v>40</v>
      </c>
      <c r="E20">
        <v>36</v>
      </c>
      <c r="F20">
        <v>684</v>
      </c>
      <c r="G20">
        <v>191</v>
      </c>
      <c r="H20">
        <v>155</v>
      </c>
      <c r="I20">
        <v>338</v>
      </c>
      <c r="J20">
        <v>66</v>
      </c>
      <c r="K20" s="3">
        <v>15</v>
      </c>
      <c r="L20" s="3">
        <v>14</v>
      </c>
      <c r="M20" s="3">
        <v>37</v>
      </c>
      <c r="N20" s="1">
        <v>4</v>
      </c>
      <c r="O20" s="4">
        <f t="shared" si="0"/>
        <v>2.1929824561403508E-2</v>
      </c>
      <c r="P20" s="4">
        <f t="shared" si="1"/>
        <v>2.046783625730994E-2</v>
      </c>
      <c r="Q20" s="4">
        <f t="shared" si="2"/>
        <v>5.4093567251461985E-2</v>
      </c>
      <c r="R20" s="4">
        <f t="shared" si="3"/>
        <v>0.90350877192982459</v>
      </c>
    </row>
    <row r="21" spans="1:18" x14ac:dyDescent="0.5">
      <c r="A21" s="1">
        <v>20</v>
      </c>
      <c r="B21" s="2">
        <v>0.53749999999999998</v>
      </c>
      <c r="C21" s="2">
        <v>0.46250000000000002</v>
      </c>
      <c r="D21">
        <v>43</v>
      </c>
      <c r="E21">
        <v>37</v>
      </c>
      <c r="F21">
        <v>760</v>
      </c>
      <c r="G21">
        <v>211</v>
      </c>
      <c r="H21">
        <v>154</v>
      </c>
      <c r="I21">
        <v>395</v>
      </c>
      <c r="J21">
        <v>65</v>
      </c>
      <c r="K21" s="3">
        <v>14</v>
      </c>
      <c r="L21" s="3">
        <v>14</v>
      </c>
      <c r="M21" s="3">
        <v>37</v>
      </c>
      <c r="N21" s="1">
        <v>4</v>
      </c>
      <c r="O21" s="4">
        <f t="shared" si="0"/>
        <v>1.8421052631578946E-2</v>
      </c>
      <c r="P21" s="4">
        <f t="shared" si="1"/>
        <v>1.8421052631578946E-2</v>
      </c>
      <c r="Q21" s="4">
        <f t="shared" si="2"/>
        <v>4.8684210526315788E-2</v>
      </c>
      <c r="R21" s="4">
        <f t="shared" si="3"/>
        <v>0.91447368421052644</v>
      </c>
    </row>
    <row r="22" spans="1:18" x14ac:dyDescent="0.5">
      <c r="A22" s="1">
        <v>21</v>
      </c>
      <c r="B22" s="2">
        <v>0.42857142857142855</v>
      </c>
      <c r="C22" s="2">
        <v>0.5714285714285714</v>
      </c>
      <c r="D22">
        <v>18</v>
      </c>
      <c r="E22">
        <v>24</v>
      </c>
      <c r="F22">
        <v>420</v>
      </c>
      <c r="G22">
        <v>73</v>
      </c>
      <c r="H22">
        <v>133</v>
      </c>
      <c r="I22">
        <v>214</v>
      </c>
      <c r="J22">
        <v>24</v>
      </c>
      <c r="K22" s="3">
        <v>3</v>
      </c>
      <c r="L22" s="3">
        <v>6</v>
      </c>
      <c r="M22" s="3">
        <v>15</v>
      </c>
      <c r="N22" s="1">
        <v>2</v>
      </c>
      <c r="O22" s="4">
        <f t="shared" si="0"/>
        <v>7.1428571428571426E-3</v>
      </c>
      <c r="P22" s="4">
        <f t="shared" si="1"/>
        <v>1.4285714285714285E-2</v>
      </c>
      <c r="Q22" s="4">
        <f t="shared" si="2"/>
        <v>3.5714285714285712E-2</v>
      </c>
      <c r="R22" s="4">
        <f t="shared" si="3"/>
        <v>0.94285714285714295</v>
      </c>
    </row>
    <row r="23" spans="1:18" x14ac:dyDescent="0.5">
      <c r="A23" s="1">
        <v>22</v>
      </c>
      <c r="B23" s="2">
        <v>0.5</v>
      </c>
      <c r="C23" s="2">
        <v>0.5</v>
      </c>
      <c r="D23">
        <v>22</v>
      </c>
      <c r="E23">
        <v>22</v>
      </c>
      <c r="F23">
        <v>462</v>
      </c>
      <c r="G23">
        <v>111</v>
      </c>
      <c r="H23">
        <v>111</v>
      </c>
      <c r="I23">
        <v>240</v>
      </c>
      <c r="J23">
        <v>15</v>
      </c>
      <c r="K23" s="3">
        <v>1</v>
      </c>
      <c r="L23" s="3">
        <v>7</v>
      </c>
      <c r="M23" s="3">
        <v>7</v>
      </c>
      <c r="N23" s="1">
        <v>2</v>
      </c>
      <c r="O23" s="4">
        <f t="shared" si="0"/>
        <v>2.1645021645021645E-3</v>
      </c>
      <c r="P23" s="4">
        <f t="shared" si="1"/>
        <v>1.5151515151515152E-2</v>
      </c>
      <c r="Q23" s="4">
        <f t="shared" si="2"/>
        <v>1.5151515151515152E-2</v>
      </c>
      <c r="R23" s="4">
        <f t="shared" si="3"/>
        <v>0.96753246753246758</v>
      </c>
    </row>
    <row r="24" spans="1:18" x14ac:dyDescent="0.5">
      <c r="A24" s="1">
        <v>23</v>
      </c>
      <c r="B24" s="2">
        <v>0.50724637681159424</v>
      </c>
      <c r="C24" s="2">
        <v>0.49275362318840576</v>
      </c>
      <c r="D24">
        <v>35</v>
      </c>
      <c r="E24">
        <v>34</v>
      </c>
      <c r="F24">
        <v>759</v>
      </c>
      <c r="G24">
        <v>197</v>
      </c>
      <c r="H24">
        <v>186</v>
      </c>
      <c r="I24">
        <v>376</v>
      </c>
      <c r="J24">
        <v>61</v>
      </c>
      <c r="K24" s="3">
        <v>17</v>
      </c>
      <c r="L24" s="3">
        <v>14</v>
      </c>
      <c r="M24" s="3">
        <v>30</v>
      </c>
      <c r="N24" s="1">
        <v>3</v>
      </c>
      <c r="O24" s="4">
        <f t="shared" si="0"/>
        <v>2.2397891963109356E-2</v>
      </c>
      <c r="P24" s="4">
        <f t="shared" si="1"/>
        <v>1.844532279314888E-2</v>
      </c>
      <c r="Q24" s="4">
        <f t="shared" si="2"/>
        <v>3.9525691699604744E-2</v>
      </c>
      <c r="R24" s="4">
        <f t="shared" si="3"/>
        <v>0.91963109354413697</v>
      </c>
    </row>
    <row r="25" spans="1:18" x14ac:dyDescent="0.5">
      <c r="A25" s="1">
        <v>24</v>
      </c>
      <c r="B25" s="2">
        <v>0.47916666666666669</v>
      </c>
      <c r="C25" s="2">
        <v>0.52083333333333326</v>
      </c>
      <c r="D25">
        <v>23</v>
      </c>
      <c r="E25">
        <v>25</v>
      </c>
      <c r="F25">
        <v>552</v>
      </c>
      <c r="G25">
        <v>121</v>
      </c>
      <c r="H25">
        <v>144</v>
      </c>
      <c r="I25">
        <v>287</v>
      </c>
      <c r="J25">
        <v>19</v>
      </c>
      <c r="K25" s="3">
        <v>3</v>
      </c>
      <c r="L25" s="3">
        <v>3</v>
      </c>
      <c r="M25" s="3">
        <v>13</v>
      </c>
      <c r="N25" s="1">
        <v>2</v>
      </c>
      <c r="O25" s="4">
        <f t="shared" si="0"/>
        <v>5.434782608695652E-3</v>
      </c>
      <c r="P25" s="4">
        <f t="shared" si="1"/>
        <v>5.434782608695652E-3</v>
      </c>
      <c r="Q25" s="4">
        <f t="shared" si="2"/>
        <v>2.355072463768116E-2</v>
      </c>
      <c r="R25" s="4">
        <f t="shared" si="3"/>
        <v>0.96557971014492749</v>
      </c>
    </row>
    <row r="26" spans="1:18" x14ac:dyDescent="0.5">
      <c r="A26" s="1">
        <v>25</v>
      </c>
      <c r="B26" s="2">
        <v>0.56000000000000005</v>
      </c>
      <c r="C26" s="2">
        <v>0.43999999999999995</v>
      </c>
      <c r="D26">
        <v>42</v>
      </c>
      <c r="E26">
        <v>33</v>
      </c>
      <c r="F26">
        <v>900</v>
      </c>
      <c r="G26">
        <v>274</v>
      </c>
      <c r="H26">
        <v>166</v>
      </c>
      <c r="I26">
        <v>460</v>
      </c>
      <c r="J26">
        <v>78</v>
      </c>
      <c r="K26" s="3">
        <v>22</v>
      </c>
      <c r="L26" s="3">
        <v>11</v>
      </c>
      <c r="M26" s="3">
        <v>45</v>
      </c>
      <c r="N26" s="1">
        <v>3</v>
      </c>
      <c r="O26" s="4">
        <f t="shared" si="0"/>
        <v>2.4444444444444446E-2</v>
      </c>
      <c r="P26" s="4">
        <f t="shared" si="1"/>
        <v>1.2222222222222223E-2</v>
      </c>
      <c r="Q26" s="4">
        <f t="shared" si="2"/>
        <v>0.05</v>
      </c>
      <c r="R26" s="4">
        <f t="shared" si="3"/>
        <v>0.91333333333333322</v>
      </c>
    </row>
    <row r="27" spans="1:18" x14ac:dyDescent="0.5">
      <c r="A27" s="1">
        <v>26</v>
      </c>
      <c r="B27" s="2">
        <v>0.53846153846153844</v>
      </c>
      <c r="C27" s="2">
        <v>0.46153846153846156</v>
      </c>
      <c r="D27">
        <v>14</v>
      </c>
      <c r="E27">
        <v>12</v>
      </c>
      <c r="F27">
        <v>325</v>
      </c>
      <c r="G27">
        <v>91</v>
      </c>
      <c r="H27">
        <v>66</v>
      </c>
      <c r="I27">
        <v>168</v>
      </c>
      <c r="J27">
        <v>6</v>
      </c>
      <c r="K27" s="3">
        <v>0</v>
      </c>
      <c r="L27" s="3">
        <v>3</v>
      </c>
      <c r="M27" s="3">
        <v>3</v>
      </c>
      <c r="N27" s="1">
        <v>1</v>
      </c>
      <c r="O27" s="4">
        <f t="shared" si="0"/>
        <v>0</v>
      </c>
      <c r="P27" s="4">
        <f t="shared" si="1"/>
        <v>9.2307692307692316E-3</v>
      </c>
      <c r="Q27" s="4">
        <f t="shared" si="2"/>
        <v>9.2307692307692316E-3</v>
      </c>
      <c r="R27" s="4">
        <f t="shared" si="3"/>
        <v>0.98153846153846147</v>
      </c>
    </row>
    <row r="28" spans="1:18" x14ac:dyDescent="0.5">
      <c r="A28" s="1">
        <v>27</v>
      </c>
      <c r="B28" s="2">
        <v>0.54629629629629628</v>
      </c>
      <c r="C28" s="2">
        <v>0.45370370370370372</v>
      </c>
      <c r="D28">
        <v>59</v>
      </c>
      <c r="E28">
        <v>49</v>
      </c>
      <c r="F28">
        <v>1404</v>
      </c>
      <c r="G28">
        <v>406</v>
      </c>
      <c r="H28">
        <v>276</v>
      </c>
      <c r="I28">
        <v>722</v>
      </c>
      <c r="J28">
        <v>52</v>
      </c>
      <c r="K28" s="3">
        <v>11</v>
      </c>
      <c r="L28" s="3">
        <v>7</v>
      </c>
      <c r="M28" s="3">
        <v>34</v>
      </c>
      <c r="N28" s="1">
        <v>4</v>
      </c>
      <c r="O28" s="4">
        <f t="shared" si="0"/>
        <v>7.8347578347578353E-3</v>
      </c>
      <c r="P28" s="4">
        <f t="shared" si="1"/>
        <v>4.9857549857549857E-3</v>
      </c>
      <c r="Q28" s="4">
        <f t="shared" si="2"/>
        <v>2.4216524216524215E-2</v>
      </c>
      <c r="R28" s="4">
        <f t="shared" si="3"/>
        <v>0.96296296296296302</v>
      </c>
    </row>
    <row r="29" spans="1:18" x14ac:dyDescent="0.5">
      <c r="A29" s="1">
        <v>29</v>
      </c>
      <c r="B29" s="2">
        <v>0.5</v>
      </c>
      <c r="C29" s="2">
        <v>0.5</v>
      </c>
      <c r="D29">
        <v>29</v>
      </c>
      <c r="E29">
        <v>29</v>
      </c>
      <c r="F29">
        <v>812</v>
      </c>
      <c r="G29">
        <v>196</v>
      </c>
      <c r="H29">
        <v>196</v>
      </c>
      <c r="I29">
        <v>420</v>
      </c>
      <c r="J29">
        <v>14</v>
      </c>
      <c r="K29" s="3">
        <v>3</v>
      </c>
      <c r="L29" s="3">
        <v>5</v>
      </c>
      <c r="M29" s="3">
        <v>6</v>
      </c>
      <c r="N29" s="1">
        <v>2</v>
      </c>
      <c r="O29" s="4">
        <f t="shared" si="0"/>
        <v>3.6945812807881772E-3</v>
      </c>
      <c r="P29" s="4">
        <f t="shared" si="1"/>
        <v>6.1576354679802959E-3</v>
      </c>
      <c r="Q29" s="4">
        <f t="shared" si="2"/>
        <v>7.3891625615763543E-3</v>
      </c>
      <c r="R29" s="4">
        <f t="shared" si="3"/>
        <v>0.98275862068965514</v>
      </c>
    </row>
    <row r="30" spans="1:18" x14ac:dyDescent="0.5">
      <c r="A30" s="1">
        <v>31</v>
      </c>
      <c r="B30" s="2">
        <v>0.5161290322580645</v>
      </c>
      <c r="C30" s="2">
        <v>0.4838709677419355</v>
      </c>
      <c r="D30">
        <v>16</v>
      </c>
      <c r="E30">
        <v>15</v>
      </c>
      <c r="F30">
        <v>465</v>
      </c>
      <c r="G30">
        <v>120</v>
      </c>
      <c r="H30">
        <v>105</v>
      </c>
      <c r="I30">
        <v>240</v>
      </c>
      <c r="J30">
        <v>106</v>
      </c>
      <c r="K30" s="3">
        <v>25</v>
      </c>
      <c r="L30" s="3">
        <v>22</v>
      </c>
      <c r="M30" s="3">
        <v>59</v>
      </c>
      <c r="N30" s="1">
        <v>1</v>
      </c>
      <c r="O30" s="4">
        <f t="shared" si="0"/>
        <v>5.3763440860215055E-2</v>
      </c>
      <c r="P30" s="4">
        <f t="shared" si="1"/>
        <v>4.7311827956989246E-2</v>
      </c>
      <c r="Q30" s="4">
        <f t="shared" si="2"/>
        <v>0.12688172043010754</v>
      </c>
      <c r="R30" s="4">
        <f t="shared" si="3"/>
        <v>0.77204301075268811</v>
      </c>
    </row>
    <row r="31" spans="1:18" x14ac:dyDescent="0.5">
      <c r="A31" s="1">
        <v>32</v>
      </c>
      <c r="B31" s="2">
        <v>0.625</v>
      </c>
      <c r="C31" s="2">
        <v>0.375</v>
      </c>
      <c r="D31">
        <v>40</v>
      </c>
      <c r="E31">
        <v>24</v>
      </c>
      <c r="F31">
        <v>992</v>
      </c>
      <c r="G31">
        <v>380</v>
      </c>
      <c r="H31">
        <v>132</v>
      </c>
      <c r="I31">
        <v>480</v>
      </c>
      <c r="J31">
        <v>17</v>
      </c>
      <c r="K31" s="3">
        <v>6</v>
      </c>
      <c r="L31" s="3">
        <v>0</v>
      </c>
      <c r="M31" s="3">
        <v>11</v>
      </c>
      <c r="N31" s="1">
        <v>2</v>
      </c>
      <c r="O31" s="4">
        <f t="shared" si="0"/>
        <v>6.0483870967741934E-3</v>
      </c>
      <c r="P31" s="4">
        <f t="shared" si="1"/>
        <v>0</v>
      </c>
      <c r="Q31" s="4">
        <f t="shared" si="2"/>
        <v>1.1088709677419355E-2</v>
      </c>
      <c r="R31" s="4">
        <f t="shared" si="3"/>
        <v>0.98286290322580638</v>
      </c>
    </row>
    <row r="32" spans="1:18" x14ac:dyDescent="0.5">
      <c r="A32" s="1">
        <v>34</v>
      </c>
      <c r="B32" s="2">
        <v>0.5</v>
      </c>
      <c r="C32" s="2">
        <v>0.5</v>
      </c>
      <c r="D32">
        <v>34</v>
      </c>
      <c r="E32">
        <v>34</v>
      </c>
      <c r="F32">
        <v>1122</v>
      </c>
      <c r="G32">
        <v>276</v>
      </c>
      <c r="H32">
        <v>276</v>
      </c>
      <c r="I32">
        <v>570</v>
      </c>
      <c r="J32">
        <v>378</v>
      </c>
      <c r="K32" s="3">
        <v>95</v>
      </c>
      <c r="L32" s="3">
        <v>88</v>
      </c>
      <c r="M32" s="3">
        <v>195</v>
      </c>
      <c r="N32" s="1">
        <v>2</v>
      </c>
      <c r="O32" s="4">
        <f t="shared" si="0"/>
        <v>8.4670231729055259E-2</v>
      </c>
      <c r="P32" s="4">
        <f t="shared" si="1"/>
        <v>7.8431372549019607E-2</v>
      </c>
      <c r="Q32" s="4">
        <f t="shared" si="2"/>
        <v>0.17379679144385027</v>
      </c>
      <c r="R32" s="4">
        <f t="shared" si="3"/>
        <v>0.66310160427807485</v>
      </c>
    </row>
    <row r="33" spans="1:18" x14ac:dyDescent="0.5">
      <c r="A33" s="1">
        <v>35</v>
      </c>
      <c r="B33" s="2">
        <v>0.51428571428571423</v>
      </c>
      <c r="C33" s="2">
        <v>0.48571428571428577</v>
      </c>
      <c r="D33">
        <v>18</v>
      </c>
      <c r="E33">
        <v>17</v>
      </c>
      <c r="F33">
        <v>595</v>
      </c>
      <c r="G33">
        <v>153</v>
      </c>
      <c r="H33">
        <v>136</v>
      </c>
      <c r="I33">
        <v>306</v>
      </c>
      <c r="J33">
        <v>528</v>
      </c>
      <c r="K33" s="3">
        <v>136</v>
      </c>
      <c r="L33" s="3">
        <v>120</v>
      </c>
      <c r="M33" s="3">
        <v>272</v>
      </c>
      <c r="N33" s="1">
        <v>1</v>
      </c>
      <c r="O33" s="4">
        <f t="shared" si="0"/>
        <v>0.22857142857142856</v>
      </c>
      <c r="P33" s="4">
        <f t="shared" si="1"/>
        <v>0.20168067226890757</v>
      </c>
      <c r="Q33" s="4">
        <f t="shared" si="2"/>
        <v>0.45714285714285713</v>
      </c>
      <c r="R33" s="4">
        <f t="shared" si="3"/>
        <v>0.11260504201680671</v>
      </c>
    </row>
    <row r="34" spans="1:18" x14ac:dyDescent="0.5">
      <c r="A34" s="1">
        <v>37</v>
      </c>
      <c r="B34" s="2">
        <v>0.51351351351351349</v>
      </c>
      <c r="C34" s="2">
        <v>0.48648648648648651</v>
      </c>
      <c r="D34">
        <v>19</v>
      </c>
      <c r="E34">
        <v>18</v>
      </c>
      <c r="F34">
        <v>666</v>
      </c>
      <c r="G34">
        <v>171</v>
      </c>
      <c r="H34">
        <v>153</v>
      </c>
      <c r="I34">
        <v>342</v>
      </c>
      <c r="J34">
        <v>1</v>
      </c>
      <c r="K34" s="3">
        <v>0</v>
      </c>
      <c r="L34" s="3">
        <v>0</v>
      </c>
      <c r="M34" s="3">
        <v>1</v>
      </c>
      <c r="N34" s="1">
        <v>1</v>
      </c>
      <c r="O34" s="4">
        <f t="shared" si="0"/>
        <v>0</v>
      </c>
      <c r="P34" s="4">
        <f t="shared" si="1"/>
        <v>0</v>
      </c>
      <c r="Q34" s="4">
        <f t="shared" si="2"/>
        <v>1.5015015015015015E-3</v>
      </c>
      <c r="R34" s="4">
        <f t="shared" si="3"/>
        <v>0.99849849849849848</v>
      </c>
    </row>
    <row r="35" spans="1:18" x14ac:dyDescent="0.5">
      <c r="A35" s="1">
        <v>39</v>
      </c>
      <c r="B35" s="2">
        <v>0.51282051282051277</v>
      </c>
      <c r="C35" s="2">
        <v>0.48717948717948723</v>
      </c>
      <c r="D35">
        <v>40</v>
      </c>
      <c r="E35">
        <v>38</v>
      </c>
      <c r="F35">
        <v>1482</v>
      </c>
      <c r="G35">
        <v>384</v>
      </c>
      <c r="H35">
        <v>346</v>
      </c>
      <c r="I35">
        <v>752</v>
      </c>
      <c r="J35">
        <v>344</v>
      </c>
      <c r="K35" s="3">
        <v>53</v>
      </c>
      <c r="L35" s="3">
        <v>128</v>
      </c>
      <c r="M35" s="3">
        <v>163</v>
      </c>
      <c r="N35" s="1">
        <v>2</v>
      </c>
      <c r="O35" s="4">
        <f t="shared" si="0"/>
        <v>3.5762483130904181E-2</v>
      </c>
      <c r="P35" s="4">
        <f t="shared" si="1"/>
        <v>8.6369770580296892E-2</v>
      </c>
      <c r="Q35" s="4">
        <f t="shared" si="2"/>
        <v>0.10998650472334683</v>
      </c>
      <c r="R35" s="4">
        <f t="shared" si="3"/>
        <v>0.76788124156545212</v>
      </c>
    </row>
    <row r="36" spans="1:18" x14ac:dyDescent="0.5">
      <c r="A36" s="1">
        <v>42</v>
      </c>
      <c r="B36" s="2">
        <v>0.54761904761904767</v>
      </c>
      <c r="C36" s="2">
        <v>0.45238095238095233</v>
      </c>
      <c r="D36">
        <v>23</v>
      </c>
      <c r="E36">
        <v>19</v>
      </c>
      <c r="F36">
        <v>861</v>
      </c>
      <c r="G36">
        <v>253</v>
      </c>
      <c r="H36">
        <v>171</v>
      </c>
      <c r="I36">
        <v>437</v>
      </c>
      <c r="J36">
        <v>129</v>
      </c>
      <c r="K36" s="3">
        <v>31</v>
      </c>
      <c r="L36" s="3">
        <v>28</v>
      </c>
      <c r="M36" s="3">
        <v>70</v>
      </c>
      <c r="N36" s="1">
        <v>1</v>
      </c>
      <c r="O36" s="4">
        <f t="shared" si="0"/>
        <v>3.6004645760743324E-2</v>
      </c>
      <c r="P36" s="4">
        <f t="shared" si="1"/>
        <v>3.2520325203252036E-2</v>
      </c>
      <c r="Q36" s="4">
        <f t="shared" si="2"/>
        <v>8.1300813008130079E-2</v>
      </c>
      <c r="R36" s="4">
        <f t="shared" si="3"/>
        <v>0.85017421602787457</v>
      </c>
    </row>
    <row r="37" spans="1:18" x14ac:dyDescent="0.5">
      <c r="A37" s="1">
        <v>54</v>
      </c>
      <c r="B37" s="2">
        <v>0.57407407407407407</v>
      </c>
      <c r="C37" s="2">
        <v>0.42592592592592593</v>
      </c>
      <c r="D37">
        <v>31</v>
      </c>
      <c r="E37">
        <v>23</v>
      </c>
      <c r="F37">
        <v>1431</v>
      </c>
      <c r="G37">
        <v>465</v>
      </c>
      <c r="H37">
        <v>253</v>
      </c>
      <c r="I37">
        <v>713</v>
      </c>
      <c r="J37">
        <v>16</v>
      </c>
      <c r="K37" s="3">
        <v>1</v>
      </c>
      <c r="L37" s="3">
        <v>3</v>
      </c>
      <c r="M37" s="3">
        <v>12</v>
      </c>
      <c r="N37" s="1">
        <v>1</v>
      </c>
      <c r="O37" s="4">
        <f t="shared" si="0"/>
        <v>6.9881201956673651E-4</v>
      </c>
      <c r="P37" s="4">
        <f t="shared" si="1"/>
        <v>2.0964360587002098E-3</v>
      </c>
      <c r="Q37" s="4">
        <f t="shared" si="2"/>
        <v>8.385744234800839E-3</v>
      </c>
      <c r="R37" s="4">
        <f t="shared" si="3"/>
        <v>0.98881900768693209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yugeng liu</dc:creator>
  <cp:lastModifiedBy>yugeng liu</cp:lastModifiedBy>
  <dcterms:created xsi:type="dcterms:W3CDTF">2025-10-18T08:41:38Z</dcterms:created>
  <dcterms:modified xsi:type="dcterms:W3CDTF">2025-10-20T09:18:36Z</dcterms:modified>
</cp:coreProperties>
</file>