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<sst xmlns="http://schemas.openxmlformats.org/spreadsheetml/2006/main" count="1919" uniqueCount="1586">
  <si>
    <t>Compound</t>
  </si>
  <si>
    <t>Molecular Formula</t>
  </si>
  <si>
    <t>Monoisotopic Mass</t>
  </si>
  <si>
    <t>M+H</t>
  </si>
  <si>
    <t>M+NH4</t>
  </si>
  <si>
    <t>M+Na</t>
  </si>
  <si>
    <t>Isomeric SMILES</t>
  </si>
  <si>
    <t>note:红色的是标准品，黄色的是修正过的区域</t>
  </si>
  <si>
    <t>5alpha,9alpha,10beta,13alpha-Tetrahydroxytaxa- 4(20),11-diene</t>
  </si>
  <si>
    <t>C20H32O4</t>
  </si>
  <si>
    <t>CC1(C)[C@@]2([H])C[C@H](O)C(C)=C1[C@@H](O)[C@H](O)[C@@]3(C)[C@](C([C@@H](O)CC3)=C)([H])C2</t>
  </si>
  <si>
    <t>2-​Deacetoxy-​5-​decinnamoyltaxinine J</t>
  </si>
  <si>
    <t>C24H36O16</t>
  </si>
  <si>
    <t>CC1([C@]2(C[C@@H](C(C)=C1[C@H]([C@@H]([C@]3([C@]([H])(C2)C([C@H](CC3)OC(C)=O)=C)C)OC(C)=O)O)O)[H])C</t>
  </si>
  <si>
    <t>9alpha,10beta-Diacetoxytaxa-4(20),11-diene-5alpha,13alpha-diol</t>
  </si>
  <si>
    <t>C24H36O6</t>
  </si>
  <si>
    <t>CC1=C2[C@H]([C@@H]([C@@]3(CC[C@@H](C(=C)[C@H]3C[C@@H](C2(C)C)C[C@@H]1O)O)C)OC(=O)C)OC(=O)C</t>
  </si>
  <si>
    <t>10beta,13alpha-Diacetoxy-taxa-4(20),11-diene-5alpha,9alpha-diol</t>
  </si>
  <si>
    <t>CC1(C)[C@@]2([H])C[C@H](OC(C)=O)C(C)=C1[C@@H](OC(C)=O)[C@H](O)[C@@]3(C)[C@](C([C@@H](O)CC3)=C)([H])C2</t>
  </si>
  <si>
    <t>5alpha,13alpha-Diacetoxytaxa-4(20),11-diene-9alpha,10beta-diol</t>
  </si>
  <si>
    <t>CC1=C2[C@H]([C@@H]([C@@]3(CC[C@@H](C(=C)[C@H]3C[C@@H](C2(C)C)C[C@@H]1OC(=O)C)OC(=O)C)C)O)O</t>
  </si>
  <si>
    <t>9alpha,10beta,13alpha-Triacetoxytaxa-4(20),11-dien-5alpha-ol</t>
  </si>
  <si>
    <t>C26H38O7</t>
  </si>
  <si>
    <t>C[C@@]1([C@](C([C@@H](O)CC1[H])=C)([H])C2[H])[C@@H](OC(C)=O)[C@H](OC(C)=O)C3=C(C)[C@@H](OC(C)=O)C[C@]2([H])C3(C)C</t>
  </si>
  <si>
    <t>Taxusin</t>
  </si>
  <si>
    <t>C28H40O8</t>
  </si>
  <si>
    <t>CC1=C2[C@H]([C@@H]([C@@]3(CC[C@@H](C(=C)[C@H]3C[C@@H](C2(C)C)C[C@@H]1OC(=O)C)OC(=O)C)C)OC(=O)C)OC(=O)C</t>
  </si>
  <si>
    <t>9alpha,10beta-Diacetoxy-5alpha-(beta-D-glucopyranosyl)taxa-4(20),11-dien-13alpha-ol</t>
  </si>
  <si>
    <t>C30H46O10</t>
  </si>
  <si>
    <t>[H][C@]12C[C@H](C(C)3C)C[C@H](O)C(C)=C3[C@@H](OC(C)=O)[C@H](OC(C)=O)[C@]1(C)CC[C@H]([C@H]4[C@@H]([C@H]([C@@H]([C@@H](CO)O4)O)O)O)C2=C</t>
  </si>
  <si>
    <t xml:space="preserve">Decinnamoyl-1-hydroxytaxinine J </t>
  </si>
  <si>
    <t>C30H42O12</t>
  </si>
  <si>
    <t>CC1(C)[C@]2(O)[C@@H](OC(C)=O)[C@@]3([H])[C@]([C@@H](OC(C)=O)C[C@H](O)C3=C)(C)[C@@H](OC(C)=O)[C@H](OC(C)=O)C1=C(C)[C@@H](OC(C)=O)C2</t>
  </si>
  <si>
    <t>7beta-Acetoxytaxusin(5alpha,7beta,9alpha,10beta,13alpha-pentaacetoxytaxa-4(20),11-diene)</t>
  </si>
  <si>
    <t>C30H42O10</t>
  </si>
  <si>
    <t>C[C@@]1([C@](C([C@@H](OC(C)=O)C[C@@H]1OC(C)=O)=C)([H])C2[H])[C@@H](OC(C)=O)[C@H](OC(C)=O)C3=C(C)[C@@H](OC(C)=O)C[C@]2([H])C3(C)C</t>
  </si>
  <si>
    <t>7beta,9alpha,10beta-Triacetoxy-13alpha-hydroxy-5alpha-O-beta-(D-glucopyranosyl)taxa-4(20),11-diene</t>
  </si>
  <si>
    <t>C30H42O13</t>
  </si>
  <si>
    <t>CC1(C)[C@@]2([H])C[C@H](O)C(C)=C1[C@@H](OC(C)=O)[C@H](OC(C)=O)[C@@]3(C)[C@](C([C@@H](OC(CO)=O)C[C@@H]3OC(C)=O)=C)(OC(C)=O)C2</t>
  </si>
  <si>
    <t>10beta,13alpha-Diacetoxytaxa-4(20),11-diene-2alpha,5alpha,9alpha-triol</t>
  </si>
  <si>
    <t>C24H36O7</t>
  </si>
  <si>
    <t>C[C@@]1([C@](C([C@@H](O)CC1[H])=C)([H])[C@@H]2O)[C@@H](O)[C@H](OC(C)=O)C3=C(C)[C@@H](OC(C)=O)C[C@]2([H])C3(C)C</t>
  </si>
  <si>
    <t>2alpha,9alpha,10beta-Triacetoxytaxa-4(20),11-diene-5alpha,13alpha-diol</t>
  </si>
  <si>
    <t>C26H38O8</t>
  </si>
  <si>
    <t>CC1(C)[C@@]2([H])C[C@H](O)C(C)=C1[C@@H](OC(C)=O)[C@H](OC(C)=O)[C@@]3(C)[C@](C([C@@H](O)CC3)=C)(OC(C)=O)C2</t>
  </si>
  <si>
    <t>2alpha,9alpha,13alpha-Triacetoxytaxa-4(20),11-diene-5alpha,10beta-diol</t>
  </si>
  <si>
    <t>CC1=C2[C@H]([C@@H]([C@@]3(CC[C@@H](C(=C)[C@H]3[C@@H]([C@@H](C2(C)C)C[C@@H]1OC(=O)C)OC(=O)C)O)C)OC(=O)C)O</t>
  </si>
  <si>
    <t>2alpha,10beta,13alpha-Triacetoxytaxa-4(20),11-diene-5alpha,9alpha-diol</t>
  </si>
  <si>
    <t>CC1(C)[C@@]2([H])C[C@H](OC(C)=O)C(C)=C1[C@@H](OC(C)=O)[C@H](O)[C@@]3(C)[C@](C([C@@H](O)CC3)=C)(OC(C)=O)C2</t>
  </si>
  <si>
    <t>Decinnamoyltaxinine E</t>
  </si>
  <si>
    <t>C28H40O9</t>
  </si>
  <si>
    <t>CC1=C2[C@H]([C@@H]([C@@]3(CC[C@@H](C(=C)[C@H]3[C@@H]([C@@H](C2(C)C)C[C@@H]1OC(=O)C)OC(=O)C)O)C)OC(=O)C)OC(=O)C</t>
  </si>
  <si>
    <t>2alpha,9alpha,10beta-Triacetoxy-13alpha-(beta-D-gluco-pyranosyloxy)taxa-4(20),11-dien-5alpha-ol</t>
  </si>
  <si>
    <t>C32H48O13</t>
  </si>
  <si>
    <t>[H][C@]12[C@H](OC(C)=O)[C@H](C(C)3C)C[C@H](O[C@H]4[C@@H]([C@H]([C@@H]([C@@H](CO)O4)O)O)O)C(C)=C3[C@@H](OC(C)=O)[C@H](OC(C)=O)[C@]1(C)CC[C@H](O)C2=C</t>
  </si>
  <si>
    <t>10beta-Acetoxy-taxa-4(20),11-diene-2alpha,5alpha,7beta,9alpha,13alpha-pentaol</t>
  </si>
  <si>
    <t>C22H34O7</t>
  </si>
  <si>
    <t>CC1(C)[C@@]2([H])C[C@H](O)C(C)=C1[C@@H](OC(C)=O)[C@H](O)[C@@]3(C)[C@](C([C@@H](O)C[C@@H]3O)=C)(O)C2</t>
  </si>
  <si>
    <t>2alpha,5alpha,9alpha,10beta,13alpha-Pentaacetoxytaxa-4(20),11-diene</t>
  </si>
  <si>
    <t>CC1=C2[C@H]([C@@H]([C@]3([C@H](C[C@@H](C2(C)C)C[C@@H]1OC(=O)C)C(=C)[C@H](C[C@@H]3OC(=O)C)OC(=O)C)C)OC(=O)C)OC(=O)C</t>
  </si>
  <si>
    <t>2-​Deacetyl-​5-​decinnamoyltaxinine E</t>
  </si>
  <si>
    <t>C28H40O10</t>
  </si>
  <si>
    <t>C[C@@]1([C@](C([C@@H](O)C[C@@H]1OC(C)=O)=C)([H])[C@@H]2O)[C@@H](OC(C)=O)[C@H](OC(C)=O)C3=C(C)[C@@H](OC(C)=O)C[C@]2([H])C3(C)C</t>
  </si>
  <si>
    <t>7,9-Deacetyl-5-decinnamoyltaxinine J</t>
  </si>
  <si>
    <t>C26H38O9</t>
  </si>
  <si>
    <t>CC1=C2[C@H]([C@@H]([C@@]3([C@H](C[C@@H](C(=C)[C@H]3[C@@H]([C@@H](C2(C)C)C[C@@H]1OC(=O)C)OC(=O)C)O)O)C)O)OC(=O)C</t>
  </si>
  <si>
    <t>Taxezopidine F</t>
  </si>
  <si>
    <t>C28H40O10 </t>
  </si>
  <si>
    <t>CC1=C2[C@H]([C@@H]([C@@]3([C@H](C[C@@H](C(=C)[C@H]3[C@@H]([C@@H](C2(C)C)C[C@@H]1O)OC(=O)C)O)OC(=O)C)C)OC(=O)C)OC(=O)C</t>
  </si>
  <si>
    <t>Taxumariene D</t>
  </si>
  <si>
    <t>CC1=C2[C@@H](OC(C)=O)[C@H](OC(C)=O)[C@]3(C)[C@@H](O)C[C@H](O)C([C@H]3[C@H](OC(C)=O)[C@H](C[C@@H]1OC(C)=O)C2(C)C)=C</t>
  </si>
  <si>
    <t>Taxumariene E</t>
  </si>
  <si>
    <t>CC1=C2[C@@H](OC(C)=O)[C@H](O)[C@]3(C)[C@@H](OC(C)=O)C[C@H](O)C([C@H]3[C@H](OC(C)=O)[C@H](C[C@@H]1OC(C)=O)C2(C)C)=C</t>
  </si>
  <si>
    <t>Decinnamoyltaxinine J</t>
  </si>
  <si>
    <t>C33H42O12</t>
  </si>
  <si>
    <t>CC1=C2[C@H]([C@@H]([C@@]3([C@H](C[C@@H](C(=C)[C@H]3[C@@H]([C@@H](C2(C)C)C[C@@H]1OC(=O)C)OC(=O)C)O)OC(=O)C)C)OC(=O)C)OC(=O)C</t>
  </si>
  <si>
    <t>2alpha,5alpha,7beta,9alpha,10beta,13alpha-Hexaacetoxy-taxa-4(20),11-diene</t>
  </si>
  <si>
    <t>C32H44O12</t>
  </si>
  <si>
    <t>CC1=C2[C@@H](OC(C)=O)[C@H](OC(C)=O)[C@]3(C)[C@@H](OC(C)=O)C[C@H](OC(C)=O)C([C@H]3[C@H](OC(C)=O)[C@H](C[C@@H]1OC(C)=O)C2(C)C)=C</t>
  </si>
  <si>
    <t>1-Hydroxy-2-deacetoxy-5-decinnamoyl-taxinine J</t>
  </si>
  <si>
    <t>CC1=C2[C@@H](OC(C)=O)[C@H](OC(C)=O)[C@]3(C)[C@@H](OC(C)=O)C[C@H](O)C([C@H]3C[C@](C[C@@H]1OC(C)=O)(O)C2(C)C)=C</t>
  </si>
  <si>
    <t>Taxawallin G</t>
  </si>
  <si>
    <t>CC1=C2[C@@H](OC(C)=O)[C@H](O)[C@]3(C)[C@@H](O)C[C@H](OC(C)=O)C([C@H]3C[C@](C[C@@H]1OC(C)=O)(O)C2(C)C)=C</t>
  </si>
  <si>
    <t>1beta,7beta,9alpha,10beta,-Tetraacetoxytaxa-4(20),11-dien-5alpha-ol</t>
  </si>
  <si>
    <t>CC1=C2[C@@H](OC(C)=O)[C@H](OC(C)=O)[C@]3(C)[C@@H](OC(C)=O)C[C@H](O)C([C@H]3C[C@](CC1)(OC(C)=O)C2(C)C)=C</t>
  </si>
  <si>
    <t>2alpha,7beta,9alpha,13alpha-Tetraacetoxy-5alpha,10beta,17-trihydroxytaxa-4(20),11-diene</t>
  </si>
  <si>
    <t>C28H40O11</t>
  </si>
  <si>
    <t>CC(C(C1(C)CO)(O)C[C@H](OC(C)=O)[C@]2(C)[C@@H](OC(C)=O)C[C@@H]3O)=C(OC(C)=O)CC1C(OC(C)=O)[C@@H]2C3=C</t>
  </si>
  <si>
    <t>2alpha-Benzoyloxy-9alpha,10beta,13alpha-triacetoxy-taxa-4(20),11-diene-1beta,5alpha-diol</t>
  </si>
  <si>
    <t>C33H42O10</t>
  </si>
  <si>
    <t>CC1=C2[C@@H](OC(C)=O)[C@H](OC(C)=O)[C@]3(C)CC[C@H](O)C([C@H]3C(OC(C4=CC=CC=C4)=O)[C@](CC1OC(C)=O)(O)C2(C)C)=C</t>
  </si>
  <si>
    <t>13-​Acetylbrevifoliol</t>
  </si>
  <si>
    <t>C[C@@]1([C@](C([C@@H](O)C[C@@H]1OC(C2=CC=CC=C2)=O)=C)([H])C3[H])[C@@H](OC(C)=O)[C@H](OC(C)=O)C4=C(C)[C@@H](OC(C)=O)C[C@]3(O)C4(C)C</t>
  </si>
  <si>
    <t>2alpha,5alpha,9alpha,10beta-Tetraacetoxy-13alpha-(Z)-cinnamoyltaxa-4(20),11-diene</t>
  </si>
  <si>
    <t>C37H46O10</t>
  </si>
  <si>
    <t>CC1=C2[C@@H](OC(C)=O)[C@H](OC(C)=O)[C@]3(C)CC[C@H](OC(C)=O)C([C@H]3C(OC(C)=O)[C@H](CC1OC(/C=C\C4=CC=CC=C4)=O)C2(C)C)=C</t>
  </si>
  <si>
    <t>Taxuyunnanine D</t>
  </si>
  <si>
    <t>C24H34O5</t>
  </si>
  <si>
    <t>CC1=C2C(=O)C[C@@]3(CC[C@@H](C(=C)[C@H]3C[C@@H](C2(C)C)C[C@@H]1OC(=O)C)OC(=O)C)C</t>
  </si>
  <si>
    <t>Taxezopidine C</t>
  </si>
  <si>
    <t>C22H32O6</t>
  </si>
  <si>
    <t>CC1=C2C(C(C3(CCC(C(=C)C3C(C(C2(C)C)CC1=O)O)O)C)OC(=O)C)O</t>
  </si>
  <si>
    <t>Taxezopidine D</t>
  </si>
  <si>
    <t>CC1=C2[C@H]([C@@H]([C@@]3(CC[C@@H](C(=C)[C@H]3[C@@H]([C@@H](C2(C)C)CC1=O)O)O)C)O)OC(=O)C</t>
  </si>
  <si>
    <t>Taxuspine G (2-deacetyltaxinine A)</t>
  </si>
  <si>
    <t>C24H34O7</t>
  </si>
  <si>
    <t>CC1=C2[C@H]([C@@H]([C@@]3(CC[C@@H](C(=C)[C@H]3[C@@H]([C@@H](C2(C)C)CC1=O)O)O)C)OC(=O)C)OC(=O)C</t>
  </si>
  <si>
    <t>Taxinine A</t>
  </si>
  <si>
    <t>C26H36O8</t>
  </si>
  <si>
    <t>CC1=C2[C@H]([C@@H]([C@@]3(CC[C@@H](C(=C)[C@H]3[C@@H]([C@@H](C2(C)C)CC1=O)OC(=O)C)O)C)OC(=O)C)OC(=O)C</t>
  </si>
  <si>
    <t>2alpha,10beta-diacetoxy-5alpha,9alpha-dihydroxytaxa-4(20),11-dien-13-one</t>
  </si>
  <si>
    <t>[H][C@]1(C([C@@H](O)CC[C@]1([C@@H](O)[C@H](OC(C)=O)C2=C3C)C)=C)[C@H](OC(C)=O)[C@H](C(C)2C)CC3=O</t>
  </si>
  <si>
    <t>Taxuspinanane K</t>
  </si>
  <si>
    <t>CC1=C2[C@H]([C@@H]([C@]3([C@H](C[C@@H](C2(C)C)CC1=O)C(=C)[C@H](C[C@@H]3OC(=O)C)O)C)OC(=O)C)OC(=O)C</t>
  </si>
  <si>
    <t>Taxinine H</t>
  </si>
  <si>
    <t>C28H38O9</t>
  </si>
  <si>
    <t>CC1=C2[C@@H](OC(C)=O)[C@H](OC(C)=O)[C@]3(C)CC[C@H](OC(C)=O)C([C@H]3C(OC(C)=O)[C@H](CC1=O)C2(C)C)=C</t>
  </si>
  <si>
    <t>10beta-Acetoxy-2alpha,5alpha,7beta,9alpha-tetrahydroxy-taxa-4(20),11-dien-13-one</t>
  </si>
  <si>
    <t>C22H32O7</t>
  </si>
  <si>
    <t>CC1=C2[C@H]([C@@H]([C@@]3([C@H](C[C@@H](C(=C)[C@H]3[C@@H]([C@@H](C2(C)C)CC1=O)O)O)O)C)O)OC(=O)C</t>
  </si>
  <si>
    <t>2alpha,9alpha-Diacetoxy-5alpha,10beta-dihydroxytaxa-4(20),11-dien-13-one</t>
  </si>
  <si>
    <t>CC1=C2[C@H]([C@@H]([C@@]3(CC[C@@H](C(=C)[C@H]3[C@@H]([C@@H](C2(C)C)CC1=O)OC(=O)C)O)C)OC(=O)C)O</t>
  </si>
  <si>
    <t>2,10-Diacetoxy-5-decinnamoyltaxicin I</t>
  </si>
  <si>
    <t>C24H34O8</t>
  </si>
  <si>
    <t>CC1=C2[C@@H](OC(C)=O)[C@H](O)[C@]3(C)CC[C@H](O)C([C@H]3C(OC(C)=O)[C@](CC1=O)(O)C2(C)C)=C</t>
  </si>
  <si>
    <t>1beta-Hydroxytaxinine A</t>
  </si>
  <si>
    <t>C26H36O9</t>
  </si>
  <si>
    <t>CC1=C2[C@@H](OC(C)=O)[C@H](OC(C)=O)[C@]3(C)CC[C@H](O)C([C@H]3C(OC(C)=O)[C@](CC1=O)(O)C2(C)C)=C</t>
  </si>
  <si>
    <t>2alpha,7beta,9alpha-Triacetoxy-5alpha,10beta-dihydroxytaxa-4(20),11-dien-13-one</t>
  </si>
  <si>
    <t>CC1=C2C(O)[C@H](OC(C)=O)[C@]3(C)CC[C@H](OC(C)=O)C([C@H]3C(OC(C)=O)[C@](CC1=O)(O)C2(C)C)=C</t>
  </si>
  <si>
    <t>Taxuspine F</t>
  </si>
  <si>
    <t>C28H38O10</t>
  </si>
  <si>
    <t>CC1=C2[C@H]([C@@H]([C@]3([C@H](C[C@@H](C(=C)[C@H]3[C@@H]([C@@H](C2(C)C)CC1=O)OC(=O)C)O)OC(=O)C)C)OC(=O)C)OC(=O)C</t>
  </si>
  <si>
    <t>2alpha,7beta,9alpha,13alpha-Tetraacetoxy-5alpha,10beta,17-trihydroxy-taxa-4(20),11-diene</t>
  </si>
  <si>
    <t>CC(C(C1(C)C)(O)C(OC(C)=O)[C@H](OC(C)=O)[C@]2(C)[C@@H](OC(C)=O)C[C@@H]3O)=C(O)CC1C(OC(C)=O)[C@@H]2C3=C</t>
  </si>
  <si>
    <t>2alpha,5alpha,7beta,9alpha,10beta,13alpha-Hexahydroxytaxa-4(20),11-diene</t>
  </si>
  <si>
    <t>C20H32O6</t>
  </si>
  <si>
    <t>CC1=C2[C@@H](O)[C@H](O)[C@]3(C)[C@@H](O)C[C@H](O)C([C@H]3[C@H](O)[C@H](C[C@@H]1O)C2(C)C)=C</t>
  </si>
  <si>
    <t>7-Debenzoyloxy-10-deacetylbrevifoliol</t>
  </si>
  <si>
    <t>C22H34O6</t>
  </si>
  <si>
    <t>CC1=C2[C@@H](O)[C@H](OC(C)=O)[C@]3(C)CC[C@H](O)C([C@H]3C[C@](C[C@@H]1O)(O)C2(C)C)=C</t>
  </si>
  <si>
    <t>Brevifoliol</t>
  </si>
  <si>
    <t>C31H40O9</t>
  </si>
  <si>
    <t>CC1=C2[C@H]([C@@H]([C@@]3([C@H](C[C@@H](C(=C)[C@H]3C[C@@]2(C[C@@H]1O)C(C)(C)O)O)OC(=O)C)C)OC(=O)C)OC(=O)C4=CC=CC=C4</t>
  </si>
  <si>
    <t>2alpha-Acetoxybrevifoliol</t>
  </si>
  <si>
    <t>C33H42O11</t>
  </si>
  <si>
    <t>C[C@@]1([C@](C([C@@H](O)C[C@@H]1OC(C)=O)=C)([H])[C@@H]2OC(C)=O)[C@@H](OC(C)=O)[C@H](OC(C3=CC=CC=C3)=O)C4=C(C)[C@@H](O)C[C@]2(O)C4(C)C</t>
  </si>
  <si>
    <t>2alpha-Benzoyl-9alpha,10beta-diacetoxy-taxa-taxa-4(20),11-diene-1beta,5alpha,13alpha-triol</t>
  </si>
  <si>
    <t>CC1=C2[C@@H](OC(C)=O)[C@H](OC(C)=O)[C@]3(C)CC[C@H](O)C([C@H]3C(OC(C4=CC=CC=C4)=O)[C@](CC1O)(O)C2(C)C)=C</t>
  </si>
  <si>
    <t>5alpha,7beta,10beta-Triacetoxy-2alpha-(alpha-methylbutyryl-oxy)taxa-4(20),11-diene</t>
  </si>
  <si>
    <t>C31H46O8</t>
  </si>
  <si>
    <t>CC1=C2[C@@H](OC(C)=O)C[C@]3(C)[C@@H](OC(C)=O)C[C@H](OC(C)=O)C([C@H]3C(OC(C(C)CC)=O)[C@H](CC1)C2(C)C)=C</t>
  </si>
  <si>
    <t>2alpha-(alpha-Methylbutyryloxy)-7beta,9alpha,10beta-tri-acetoxytaxa-4(20),11-dien-5alpha-ol</t>
  </si>
  <si>
    <t>C31H46O9</t>
  </si>
  <si>
    <t>CC1=C2[C@@H](OC(C)=O)C(OC(C)=O)[C@]3(C)[C@@H](OC(C)=O)C[C@H](O)C([C@H]3C(OC(C(C)CC)=O)[C@H](CC1)C2(C)C)=C</t>
  </si>
  <si>
    <t>2alpha-(alpha-Methylbutyryloxy)-5alpha,7beta,9alpha,10beta-tetraacetoxytaxa-4(20),11-diene</t>
  </si>
  <si>
    <t>C33H48O10</t>
  </si>
  <si>
    <t>CC1=C2[C@@H](OC(C)=O)C(OC(C)=O)[C@]3(C)[C@@H](OC(C)=O)C[C@H](OC(C)=O)C([C@H]3C(OC(C(C)CC)=O)[C@H](CC1)C2(C)C)=C</t>
  </si>
  <si>
    <t>Dantaxusin B</t>
  </si>
  <si>
    <t>C33H42O7</t>
  </si>
  <si>
    <t>CC1=C2[C@H]([C@@H]([C@@]3(CC[C@@H](C(=C)[C@H]3C[C@@H](C2(C)C)C[C@@H]1OC(=O)C)OC(=O)/C=C/C4=CC=CC=C4)C)O)OC(=O)C</t>
  </si>
  <si>
    <t>9alpha,10beta-Diacetoxy-5alpha-cinnamoyloxytaxa-4(20),11-dien-13alpha-ol</t>
  </si>
  <si>
    <t>CC1=C2[C@H]([C@@H]([C@@]3(CC[C@@H](C(=C)[C@H]3C[C@@H](C2(C)C)C[C@@H]1O)OC(=O)/C=C/C4=CC=CC=C4)C)OC(=O)C)OC(=O)C</t>
  </si>
  <si>
    <t>5alpha-Cinnamoyloxy-9alpha,10beta,13alpha-triacetoxy-taxa-4(20),11-diene</t>
  </si>
  <si>
    <t>C35H44O8</t>
  </si>
  <si>
    <t>CC(O[C@H]1[C@@H]([C@]2(C(CC(C(C)(C)C1=C3C)C[C@@H]3OC(C)=O)C([C@H](CC2)OC(/C=C/C4=CC=CC=C4)=O)=C)C)OC(C)=O)=O</t>
  </si>
  <si>
    <t>2-Deacetoxy-7,9-dideacetyltaxinine J</t>
  </si>
  <si>
    <t>C33H42O8</t>
  </si>
  <si>
    <t>CC1=C2[C@H]([C@@H]([C@]3([C@H](C[C@@H](C2(C)C)C[C@@H]1OC(=O)C)C(=C)[C@H](C[C@@H]3O)OC(=O)/C=C/C4=CC=CC=C4)C)O)OC(=O)C</t>
  </si>
  <si>
    <t>9alpha,10beta,13alpha-Triacetoxy-5alpha-cinnamoyloxy-taxa-4(20),11-dien-7beta-ol</t>
  </si>
  <si>
    <t>C35H44O9</t>
  </si>
  <si>
    <t>CC(O[C@H]1[C@@H]([C@]2(C(CC(C(C)(C)C1=C3C)C[C@@H]3OC(C)=O)C([C@H](C[C@@H]2O)OC(/C=C/C4=CC=CC=C4)=O)=C)C)OC(C)=O)=O</t>
  </si>
  <si>
    <t>Taxezopidine H</t>
  </si>
  <si>
    <t>CC1=C2[C@H]([C@@H]([C@]3([C@H](C[C@@H](C2(C)C)C[C@@H]1O)C(=C)[C@H](C[C@@H]3OC(=O)C)OC(=O)/C=C/C4=CC=CC=C4)C)OC(=O)C)OC(=O)C</t>
  </si>
  <si>
    <t>2-Deacetoxytaxinine J</t>
  </si>
  <si>
    <t>CC1=C2[C@H]([C@@H]([C@]3([C@H](C[C@@H](C2(C)C)C[C@@H]1OC(=O)C)C(=C)[C@H](C[C@@H]3OC(=O)C)OC(=O)/C=C/C4=CC=CC=C4)C)OC(=O)C)OC(=O)C</t>
  </si>
  <si>
    <t>9alpha,10beta-Diacetoxy-5alpha-cinnamoyloxytaxa-4(20),11-diene-2alpha,13alpha-diol</t>
  </si>
  <si>
    <t>C33H42O8 </t>
  </si>
  <si>
    <t>CC1=C2[C@H]([C@@H]([C@@]3(CC[C@@H](C(=C)[C@H]3[C@@H]([C@@H](C2(C)C)C[C@@H]1O)O)OC(=O)/C=C/C4=CC=CC=C4)C)OC(=O)C)OC(=O)C</t>
  </si>
  <si>
    <t>Taxezopidine G</t>
  </si>
  <si>
    <t>CC1=C2[C@H]([C@@H]([C@@]3(CC[C@@H](C(=C)[C@H]3[C@@H]([C@@H](C2(C)C)C[C@@H]1OC(=O)C)O)OC(=O)/C=C/C4=CC=CC=C4)C)OC(=O)C)OC(=O)C</t>
  </si>
  <si>
    <t>Taxuspinanane G</t>
  </si>
  <si>
    <t>C37H46O11</t>
  </si>
  <si>
    <t>CC(O[C@H]1[C@@H]([C@]2(C([C@H](O)C(C(C)(C)C1=C3C)C[C@@H]3OC(C)=O)C([C@H](C[C@@H]2OC(C)=O)OC(/C=C/C4=CC=CC=C4)=O)=C)C)OC(C)=O)=O</t>
  </si>
  <si>
    <t>2alpha,10beta-Diacetoxy-5alpha-cinnamoyloxytaxa-4(20),11-diene-9alpha,13alpha-diol</t>
  </si>
  <si>
    <t>[H][C@]12[C@H](OC(C)=O)[C@H](C(C)3C)C[C@H](O)C(C)=C3[C@@H](OC(C)=O)[C@H](O)[C@]1(C)CC[C@H](OC(C=CC4=CC=CC=C4)=O)C2=C</t>
  </si>
  <si>
    <t>9-Deacetyltaxinine E </t>
  </si>
  <si>
    <t>CC1=C2[C@H]([C@@H]([C@@]3(CC[C@@H](C(=C)[C@H]3[C@@H]([C@@H](C2(C)C)C[C@@H]1OC(=O)C)OC(=O)C)OC(=O)/C=C/C4=CC=CC=C4)C)O)OC(=O)C</t>
  </si>
  <si>
    <t>2alpha,9alpha,13alpha-Triacetoxy-5alpha-cinnamoyloxy-taxa-4(20),11-dien-10beta-ol</t>
  </si>
  <si>
    <t>[H][C@]12[C@H](OC(C)=O)[C@H](C(C)3C)C[C@H](OC(C)=O)C(C)=C3[C@@H](O)[C@H](OC(C)=O)[C@]1(C)CC[C@H](OC(C=CC4=CC=CC=C4)=O)C2=C</t>
  </si>
  <si>
    <t>13-Deacetyltaxinine E</t>
  </si>
  <si>
    <t>CC(O[C@H]1[C@@H]([C@]2(C([C@H](OC(C)=O)C(C(C)(C)C1=C3C)C[C@@H]3O)C([C@H](CC2)OC(/C=C/C4=CC=CC=C4)=O)=C)C)OC(C)=O)=O</t>
  </si>
  <si>
    <t>7-Deacetoxytaxinine J</t>
  </si>
  <si>
    <t>CC1=C2[C@H]([C@@H]([C@@]3(CC[C@@H](C(=C)[C@H]3[C@@H]([C@@H](C2(C)C)C[C@@H]1OC(=O)C)OC(=O)C)OC(=O)/C=C/C4=CC=CC=C4)C)OC(=O)C)OC(=O)C</t>
  </si>
  <si>
    <t>Dantaxusin D</t>
  </si>
  <si>
    <t>CC1=C2[C@H]([C@@H]([C@@]3([C@H](C[C@@H](C(=C)[C@H]3[C@@H]([C@@H](C2(C)C)C[C@@H]1OC(=O)C)OC(=O)C)OC(=O)/C=C/C4=CC=CC=C4)O)C)OC(=O)C)OC(=O)C</t>
  </si>
  <si>
    <t>Taxinine J</t>
  </si>
  <si>
    <t>C39H48O12</t>
  </si>
  <si>
    <t>C[C@@]12[C@]([C@H](OC(C)=O)[C@]3(C(C)(C)C([C@@H](OC(C)=O)[C@@H]1OC(C)=O)=C(C)[C@@H](OC(C)=O)C3)[H])(C(=C)[C@@H](OC(/C=C/C4=CC=CC=C4)=O)C[C@@H]2OC(C)=O)[H]</t>
  </si>
  <si>
    <t>Taxawallin A</t>
  </si>
  <si>
    <t>CC(O[C@H]1[C@@H]([C@]2(C(CC(C(C)(C)C1=C3C)(O)C[C@@H]3OC(C)=O)C([C@H](C[C@@H]2OC(C)=O)OC(/C=C/C4=CC=CC=C4)=O)=C)C)OC(C)=O)=O</t>
  </si>
  <si>
    <t>Taxusumatrin</t>
  </si>
  <si>
    <t>C39H48O13</t>
  </si>
  <si>
    <t>CC(O[C@H]1[C@@H]([C@]2(C(C(OC(C)=O)C(C(C)(C)C1=C3C)(O)C[C@@H]3OC(C)=O)C([C@H](C[C@@H]2OC(C)=O)OC(/C=C/C4=CC=CC=C4)=O)=C)C)OC(C)=O)=O</t>
  </si>
  <si>
    <t>2-Deacetoxy-taxinine B</t>
  </si>
  <si>
    <t>C35H42O9</t>
  </si>
  <si>
    <t>CC1=C2[C@H]([C@@H]([C@]3([C@H](C[C@@H](C2(C)C)CC1=O)C(=C)[C@H](C[C@@H]3OC(=O)C)OC(=O)/C=C/C4=CC=CC=C4)C)OC(=O)C)OC(=O)C</t>
  </si>
  <si>
    <t>5alpha-Cinnamoyloxy-2alpha,9alpha,10beta-trihydroxy-taxa-4(20),11-dien-13-one</t>
  </si>
  <si>
    <t>C29H36O6</t>
  </si>
  <si>
    <t>O[C@H]1[C@@H]([C@]2(C(C(O)C(C(C)(C)C1=C3C)CC3=O)C([C@H](CC2)OC(/C=C/C4=CC=CC=C4)=O)=C)C)O</t>
  </si>
  <si>
    <t>5-Cinnamoyl-10-acetyltaxicin II </t>
  </si>
  <si>
    <t>C31H38O7</t>
  </si>
  <si>
    <t>CC1=C2[C@H]([C@@H]([C@@]3(CC[C@@H](C(=C)[C@H]3[C@@H]([C@H](C2(C)C)CC1=O)O)OC(=O)/C=C/C4=CC=CC=C4)C)O)OC(=O)C</t>
  </si>
  <si>
    <t>9alpha-Acetoxy-5alpha-cinnamoyloxytaxa-2alpha,10beta-dihydroxy-4(20),11-dien-13-one</t>
  </si>
  <si>
    <t>O[C@H]1[C@@H]([C@]2(C(C(O)C(C(C)(C)C1=C3C)CC3=O)C([C@H](CC2)OC(/C=C/C4=CC=CC=C4)=O)=C)C)OC(C)=O</t>
  </si>
  <si>
    <t>2-Deacetyltaxinine</t>
  </si>
  <si>
    <t>C33H40O8</t>
  </si>
  <si>
    <t>CC(O[C@H]1[C@@H]([C@]2(C(C(O)C(C(C)(C)C1=C3C)CC3=O)C([C@H](CC2)OC(/C=C/C4=CC=CC=C4)=O)=C)C)OC(C)=O)=O</t>
  </si>
  <si>
    <t>9,10-Deacetyltaxinine</t>
  </si>
  <si>
    <t>O[C@H]1[C@@H]([C@]2(C(C(OC(C)=O)C(C(C)(C)C1=C3C)CC3=O)C([C@H](CC2)OC(/C=C/C4=CC=CC=C4)=O)=C)C)O</t>
  </si>
  <si>
    <t>9-Deacetyltaxinine</t>
  </si>
  <si>
    <t>CC(O[C@H]1[C@@H]([C@]2(C(C(OC(C)=O)C(C(C)(C)C1=C3C)CC3=O)C([C@H](CC2)OC(/C=C/C4=CC=CC=C4)=O)=C)C)O)=O</t>
  </si>
  <si>
    <t>10-Deacetyltaxinine</t>
  </si>
  <si>
    <t>O[C@H]1[C@@H]([C@]2(C(C(OC(C)=O)C(C(C)(C)C1=C3C)CC3=O)C([C@H](CC2)OC(/C=C/C4=CC=CC=C4)=O)=C)C)OC(C)=O</t>
  </si>
  <si>
    <t>Taxinine </t>
  </si>
  <si>
    <t>CC1=C2[C@H]([C@@H]([C@@]3(CC[C@@H](C(=C)[C@H]3[C@@H]([C@@H](C2(C)C)CC1=O)OC(=O)C)OC(=O)/C=C/C4=CC=CC=C4)C)OC(=O)C)OC(=O)C</t>
  </si>
  <si>
    <t>Taxezopidine E</t>
  </si>
  <si>
    <t>C31H38O8</t>
  </si>
  <si>
    <t>CC1=C2[C@H]([C@@H]([C@@]3([C@H](C[C@@H](C(=C)[C@H]3[C@@H]([C@@H](C2(C)C)CC1=O)O)OC(=O)/C=C/C4=CC=CC=C4)O)C)O)OC(=O)C</t>
  </si>
  <si>
    <t>7,9-Deacetyltaxinine B </t>
  </si>
  <si>
    <t>C33H40O9</t>
  </si>
  <si>
    <t>CC(O[C@H]1[C@@H]([C@]2(C(C(OC(C)=O)C(C(C)(C)C1=C3C)CC3=O)C([C@H](CC2O)OC(/C=C/C4=CC=CC=C4)=O)=C)C)O)=O</t>
  </si>
  <si>
    <t>9-Deacetyltaxinine B</t>
  </si>
  <si>
    <t>C35H42O10</t>
  </si>
  <si>
    <t>CC(O[C@H]1C(O)[C@]2(C(C(OC(C)=O)C(C(C)(C)C1=C3C)CC3=O)C([C@H](CC2OC(C)=O)OC(/C=C/C4=CC=CC=C4)=O)=C)C)=O</t>
  </si>
  <si>
    <t>10-Deacetyltaxinine B</t>
  </si>
  <si>
    <t>CC1=C2[C@H]([C@@H]([C@@]3([C@H](C[C@@H](C(=C)[C@H]3[C@@H]([C@@H](C2(C)C)CC1=O)OC(=O)C)OC(=O)/C=C/C4=CC=CC=C4)OC(=O)C)C)OC(=O)C)O</t>
  </si>
  <si>
    <t>Taxinine B</t>
  </si>
  <si>
    <t>C37H44O11</t>
  </si>
  <si>
    <t>CC1=C2[C@H]([C@@H]([C@@]3([C@H](C[C@@H](C(=C)[C@H]3[C@@H]([C@@H](C2(C)C)CC1=O)OC(=O)C)OC(=O)/C=C/C4=CC=CC=C4)OC(=O)C)C)OC(=O)C)OC(=O)C</t>
  </si>
  <si>
    <t xml:space="preserve">5alpha-Cinnamoyloxy-1beta,2alpha,9alpha,10beta-tetra-hydroxytaxa-4(20),11-dien-13-one
     </t>
  </si>
  <si>
    <t>C29H36O7</t>
  </si>
  <si>
    <t>O[C@H]1C(O)[C@]2(C([C@H](O)C(C(C)(C)C1=C3C)(O)CC3=O)C([C@H](CC2)OC(/C=C/C4=CC=CC=C4)=O)=C)C</t>
  </si>
  <si>
    <t>5-cinnamoyl-10-acetyltaxicin I</t>
  </si>
  <si>
    <t>CC1=C2[C@H]([C@@H]([C@@]3(CC[C@@H](C(=C)[C@H]3[C@@H]([C@@](C2(C)C)(CC1=O)O)O)OC(=O)/C=C/C4=CC=CC=C4)C)O)OC(=O)C</t>
  </si>
  <si>
    <t>O-Cinnamoyltaxicin I</t>
  </si>
  <si>
    <t>CC1=C2[C@H]([C@@H]([C@@]3(CC[C@@H](C(=C)[C@H]3[C@@H]([C@@](C2(C)C)(CC1=O)O)O)OC(=O)/C=C/C4=CC=CC=C4)C)O)O</t>
  </si>
  <si>
    <t>5-Cinnamoyl-9,10-diacetyltaxicin I </t>
  </si>
  <si>
    <t>CC1=C2[C@H]([C@@H]([C@@]3(CC[C@@H](C(=C)[C@H]3[C@@H]([C@@](C2(C)C)(CC1=O)O)O)OC(=O)/C=C/C4=CC=CC=C4)C)OC(=O)C)OC(=O)C</t>
  </si>
  <si>
    <t>2-O-Acetyl-5-O-cinnamoyltaxicin I </t>
  </si>
  <si>
    <t>O[C@H]1C(O)[C@]2(C([C@H](OC(C)=O)C(C(C)(C)C1=C3C)(O)CC3=O)C([C@H](CC2)OC(/C=C/C4=CC=CC=C4)=O)=C)C</t>
  </si>
  <si>
    <t>O-Cinnamoyltaxicin I triacetate </t>
  </si>
  <si>
    <t>CC1=C2[C@H]([C@@H]([C@@]3(CC[C@@H](C(=C)[C@H]3[C@@H]([C@@](C2(C)C)(CC1=O)O)OC(=O)C)OC(=O)/C=C/C4=CC=CC=C4)C)OC(=O)C)OC(=O)C</t>
  </si>
  <si>
    <t>1beta,7beta-Dihydroxytaxinine</t>
  </si>
  <si>
    <t>C35H42O11</t>
  </si>
  <si>
    <t>CC1=C2[C@H]([C@@H]([C@@]3([C@H](C[C@@H](C(=C)[C@H]3[C@@H]([C@@](C2(C)C)(CC1=O)O)OC(=O)C)OC(=O)/C=C/C4=CC=CC=C4)O)C)OC(=O)C)OC(=O)C</t>
  </si>
  <si>
    <t>1beta-hydroxy-7beta-acetoxytaxinine</t>
  </si>
  <si>
    <t>C37H44O12</t>
  </si>
  <si>
    <t>CC1=C2[C@H]([C@@H]([C@@]3([C@H](C[C@@H](C(=C)[C@H]3[C@@H]([C@@](C2(C)C)(CC1=O)O)OC(=O)C)OC(=O)/C=C/C4=CC=CC=C4)OC(=O)C)C)OC(=O)C)OC(=O)C</t>
  </si>
  <si>
    <t>9alpha,10beta-Diacetoxy-2alpha-benzoyloxy-5alpha-cinnamoyloxytaxa-4(20),11-diene-1beta,13alpha-diol</t>
  </si>
  <si>
    <t>C40H46O10</t>
  </si>
  <si>
    <t>CC(O[C@H]1C(OC(C)=O)[C@]2(C([C@H](OC(C3=CC=CC=C3)=O)C(C(C)(C)C1=C4C)(O)CC4O)C([C@H](CC2)OC(/C=C/C5=CC=CC=C5)=O)=C)C)=O</t>
  </si>
  <si>
    <t>9alpha,10beta,13alpha-Triacetoxy-5alpha-[(R)-3'-methylamino-3'-phenylpropanoyloxy] taxa-4(20),11-diene</t>
  </si>
  <si>
    <t>C36H49NO8</t>
  </si>
  <si>
    <t>CC1=C2[C@H]([C@@H]([C@@]3(CC[C@@H](C(=C)[C@H]3C[C@@H](C2(C)C)C[C@@H]1OC(=O)C)OC(=O)CC(C4=CC=CC=C4)NC)C)OC(=O)C)OC(=O)C</t>
  </si>
  <si>
    <t>7,2'-Didesacetoxyaustrospicatine</t>
  </si>
  <si>
    <t>C37H51NO8</t>
  </si>
  <si>
    <t>CC1=C2[C@H]([C@@H]([C@@]3(CC[C@@H](C(=C)[C@H]3C[C@@H](C2(C)C)C[C@@H]1OC(=O)C)OC(=O)C[C@H](C4=CC=CC=C4)N(C)C)C)OC(=O)C)OC(=O)C</t>
  </si>
  <si>
    <t>7beta,9alpha,10beta,13alpha-Tetraacetoxy-5alpha-[(R)-3'-methylamino-3'-phenylpropanoyloxy]taxa-4(20),11-diene</t>
  </si>
  <si>
    <t>C38H51NO10</t>
  </si>
  <si>
    <t>CC1=C2[C@H]([C@@H]([C@]3([C@H](C[C@@H](C2(C)C)C[C@@H]1OC(=O)C)C(=C)[C@H](C[C@@H]3OC(=O)C)OC(=O)CC(C4=CC=CC=C4)NC)C)OC(=O)C)OC(=O)C</t>
  </si>
  <si>
    <t>2'beta-Deacetoxyaustrospicatine</t>
  </si>
  <si>
    <t>C39H53NO10</t>
  </si>
  <si>
    <t>CC1=C2[C@H]([C@@H]([C@]3([C@H](C[C@@H](C2(C)C)C[C@@H]1OC(=O)C)C(=C)[C@H](C[C@@H]3OC(=O)C)OC(=O)CC(C4=CC=CC=C4)N(C)C)C)OC(=O)C)OC(=O)C</t>
  </si>
  <si>
    <t>10beta,13alpha-Diacetoxy-5alpha-[(R)-3'-methyl-amino-3'-phenylpropanoyloxy] taxa-4(20),11-diene-2alpha,9alpha-diol</t>
  </si>
  <si>
    <t>C34H47NO8</t>
  </si>
  <si>
    <t>CC1=C(C2(C)C)[C@@H](OC(C)=O)[C@H](O)[C@@]3(C)C([C@H](O)C2C[C@@H]1OC(C)=O)C([C@@H](OC(CC(NC)C4=CC=CC=C4)=O)CC3)=C</t>
  </si>
  <si>
    <t>Taxezopidine O</t>
  </si>
  <si>
    <t>C36H49NO9</t>
  </si>
  <si>
    <t>CC1=C(C2(C)C)[C@@H](OC(C)=O)[C@H](OC(C)=O)[C@@]3(C)C([C@H](O)C2C[C@@H]1OC(C)=O)C([C@@H](OC(CC(NC)C4=CC=CC=C4)=O)CC3)=C</t>
  </si>
  <si>
    <t>13-Deoxo-13alpha-acetyloxy-1-deoxytaxine B</t>
  </si>
  <si>
    <t>C35H49NO8</t>
  </si>
  <si>
    <t>CC1=C(C2(C)C)[C@@H](OC(C)=O)[C@H](O)[C@@]3(C)C([C@H](O)C2C[C@@H]1OC(C)=O)C([C@@H](OC(CC(N(C)C)C4=CC=CC=C4)=O)CC3)=C</t>
  </si>
  <si>
    <t>Taxuspine Z</t>
  </si>
  <si>
    <t>C37H51NO9</t>
  </si>
  <si>
    <t>CC1=C2[C@H]([C@@H]([C@@]3(CC[C@@H](C(=C)[C@H]3[C@@H]([C@@H](C2(C)C)C[C@@H]1OC(=O)C)O)OC(=O)C[C@H](C4=CC=CC=C4)N(C)C)C)OC(=O)C)OC(=O)C</t>
  </si>
  <si>
    <t>2alpha,10beta,13alpha-Triacetoxy-5alpha-[(R)-3'-methyl-amino-3'-phenylpropanoyloxy] taxa-4(20),11-dien-9alpha-ol</t>
  </si>
  <si>
    <t>CC1=C2[C@H]([C@@H]([C@@]3(CC[C@@H](C(=C)[C@H]3[C@@H]([C@@H](C2(C)C)C[C@@H]1OC(=O)C)OC(=O)C)OC(=O)C[C@H](C4=CC=CC=C4)NC)C)O)OC(=O)C</t>
  </si>
  <si>
    <t>2alpha,9alpha,10beta,13alpha-Tetraacetoxy-5alpha-[(R)-3'-methylamino-3'-phenylpropanoyloxy]taxa-4(20),11-diene</t>
  </si>
  <si>
    <t>CC1=C2[C@H]([C@@H]([C@@]3(CC[C@@H](C(=C)[C@H]3[C@@H]([C@@H](C2(C)C)C[C@@H]1OC(=O)C)OC(=O)C)OC(=O)CC(C4=CC=CC=C4)NC)C)OC(=O)C)OC(=O)C</t>
  </si>
  <si>
    <t>2alpha,9alpha,13alpha-Triacetoxy-5alpha-[(R)-3'-dimethyl-amino-3'-phenylpropanoyloxy] taxa-4(20),11-dien-10beta-ol</t>
  </si>
  <si>
    <t>CC1=C(C2(C)C)[C@@H](O)[C@H](OC(C)=O)[C@@]3(C)C([C@H](OC(C)=O)C2C[C@@H]1OC(C)=O)C([C@@H](OC(CC(N(C)C)C4=CC=CC=C4)=O)CC3)=C</t>
  </si>
  <si>
    <t>2alpha,10beta,13alpha-Triacetoxy-5alpha-[(R)-3'-dimethyl-amino-3'-phenylpropanoyloxy] taxa-4(20),11-dien-9alpha-ol</t>
  </si>
  <si>
    <t>CC1=C2[C@H]([C@@H]([C@@]3(CC[C@@H](C(=C)[C@H]3[C@@H]([C@@H](C2(C)C)C[C@@H]1OC(=O)C)OC(=O)C)OC(=O)C[C@@H](C4=CC=CC=C4)N(C)C)C)O)OC(=O)C</t>
  </si>
  <si>
    <t>2alpha-Acetoxy-2',7-dideacetoxyaustro-spicatine</t>
  </si>
  <si>
    <t>CC1=C(C2(C)C)[C@@H](OC(C)=O)[C@H](OC(C)=O)[C@@]3(C)C([C@H](OC(C)=O)C2C[C@@H]1OC(C)=O)C([C@@H](OC(CC(N(C)C)C4=CC=CC=C4)=O)CC3)=C</t>
  </si>
  <si>
    <t>​7beta,​9alpha,​10beta,​13alpha-​Tetraacetoxy-​5alpha-[(2'R-​3'S)​-N,​N- ​dimethyl-​3'-​phenylisoseryl-oxy]taxa-​4(20)​,​11-dien-2alpha-​ol</t>
  </si>
  <si>
    <t>C39H53NO12</t>
  </si>
  <si>
    <t>CC1=C(C2(C)C)[C@@H](OC(C)=O)[C@H](OC(C)=O)[C@@]3(C)C([C@H](O)C2C[C@@H]1OC(C)=O)C([C@@H](OC(C(O)C(N(C)C)C4=CC=CC=C4)=O)C[C@@H]3OC(C)=O)=C</t>
  </si>
  <si>
    <t>2alpha-Acetoxy-2'beta-deacetyl-austrospicatine</t>
  </si>
  <si>
    <t>C41H55NO13</t>
  </si>
  <si>
    <t>CC1=C2[C@H](C([C@@]3([C@H](CC(C(=C)C3C([C@@H](C2(C)C)CC1OC(=O)C)OC(=O)C)OC(=O)C(C(C4=CC=CC=C4)N(C)C)O)OC(=O)C)C)OC(=O)C)OC(=O)C</t>
  </si>
  <si>
    <t>9alpha,13alpha-Diacetoxy-5alpha-[(R)-3'-dimethyl-amino-3'-phenylpropanoyloxy] taxa-4(20),11-dien-1beta,10beta-diol</t>
  </si>
  <si>
    <t>CC1=C2[C@H]([C@@H]([C@@]3(CC[C@@H](C(=C)[C@H]3C[C@@](C2(C)C)(C[C@@H]1OC(=O)C)O)OC(=O)CC(C4=CC=CC=C4)N(C)C)C)OC(=O)C)O</t>
  </si>
  <si>
    <t>13-Deoxo-13alpha-acetyloxytaxine B</t>
  </si>
  <si>
    <t>C35H49NO9</t>
  </si>
  <si>
    <t>CC1=C(C2(C)C)[C@@H](OC(C)=O)[C@H](O)[C@@]3(C)C([C@H](O)C2(O)C[C@@H]1OC(C)=O)C([C@@H](OC(CC(N(C)C)C4=CC=CC=C4)=O)CC3)=C</t>
  </si>
  <si>
    <t>(+)-2alpha-Acetoxy-2',7-dideacetoxy-1-hydroxyaustrospicatine</t>
  </si>
  <si>
    <t>C39H53NO11</t>
  </si>
  <si>
    <t>CC1=C2[C@H]([C@@H]([C@@]3(CC[C@@H](C(=C)[C@H]3[C@@H]([C@@](C2(C)C)(C[C@@H]1OC(=O)C)O)OC(=O)C)OC(=O)CC(C4=CC=CC=C4)N(C)C)C)OC(=O)C)OC(=O)C</t>
  </si>
  <si>
    <t>2alpha-Acetoxy-2'-deacetyl-1-hydroxy-austrospicatine</t>
  </si>
  <si>
    <t>C41H55NO14</t>
  </si>
  <si>
    <t>CC1(C)[C@@]2(O)C[C@H](OC(C)=O)C(C)=C1[C@@H](OC(C)=O)[C@H](OC(C)=O)[C@@]3(C)[C@](C([C@@H](OC([C@H](O)[C@@H](N(C)C)C4=CC=CC=C4)=O)C[C@@H]3OC(C)=O)=C)([H])[C@@H]2OC(C)=O</t>
  </si>
  <si>
    <t>9alpha,10beta,13alpha-Triacetoxy-5alpha-[(R)-3'-dimethyl-amino-3'-phenylpropanoyloxy]taxa-4(20),11-diene-2alpha,17-diol</t>
  </si>
  <si>
    <t>C37H51NO10</t>
  </si>
  <si>
    <t>CC1=C(C2(C)CO)[C@@H](OC(C)=O)[C@H](OC(C)=O)[C@@]3(C)C([C@H](O)C2C[C@@H]1OC(C)=O)C([C@@H](OC(CC(N(C)C)C4=CC=CC=C4)=O)CC3)=C</t>
  </si>
  <si>
    <t>Taxine NA-13</t>
  </si>
  <si>
    <t>C37H47NO10</t>
  </si>
  <si>
    <t>CC1=C2[C@H]([C@@H]([C@@]3(CC[C@@H](C(=C)[C@H]3[C@@H]([C@@H](C2(C)C)CC1=O)OC(=O)C)OC(=O)[C@@H]4[C@@H](N(CO4)C)C5=CC=CC=C5)C)OC(=O)C)OC(=O)C</t>
  </si>
  <si>
    <t>7beta,9alpha,10beta,13alpha-Tetraacetoxy-5alpha-[3'-(N-formyl-N-methylamino)-3'-phenyl-propanoyloxy]taxa-4(20),11-diene</t>
  </si>
  <si>
    <t>C39H51NO11</t>
  </si>
  <si>
    <t>[H][C@]12C[C@H](C(C)3C)C[C@H](OC(C)=O)C(C)=C3[C@@H](OC(C)=O)[C@H](OC(C)=O)[C@]1(C)[C@@H](OC(C)=O)C[C@H](OC(CC(N(C=O)C)C4=CC=CC=C4)=O)C2=C</t>
  </si>
  <si>
    <t>10beta-Acetoxy-5alpha-[(3'-dimethylamino-3'-phenyl)-propionyloxy]moiety-9alpha-hydroxy-taxa-4(20)11-dien-13-one</t>
  </si>
  <si>
    <t>C33H45NO6</t>
  </si>
  <si>
    <t>CC1=C(C2(C)C)[C@@H](OC(C)=O)[C@H](O)[C@@]3(C)C(CC2CC1=O)C([C@@H](OC(CC(N(C)C)C4=CC=CC=C4)=O)CC3)=C</t>
  </si>
  <si>
    <t>2-Deacetoxy-10-acetoxytaxine B</t>
  </si>
  <si>
    <t>C33H45NO7</t>
  </si>
  <si>
    <t>CC1=C(C2(C)C)[C@@H](OC(C)=O)[C@H](O)[C@@]3(C)C([C@H](O)C2CC1=O)C([C@@H](OC(CC(N(C)C)C4=CC=CC=C4)=O)CC3)=C</t>
  </si>
  <si>
    <t>2-Deacetoxy-9-acetoxytaxine B</t>
  </si>
  <si>
    <t>CC1=C(C2(C)C)[C@@H](O)[C@H](OC(C)=O)[C@@]3(C)C([C@H](O)C2CC1=O)C([C@@H](OC(CC(N(C)C)C4=CC=CC=C4)=O)CC3)=C</t>
  </si>
  <si>
    <t>2-Deacetyltaxine II</t>
  </si>
  <si>
    <t>C35H47NO8</t>
  </si>
  <si>
    <t>CC1=C(C2(C)C)[C@@H](OC(C)=O)[C@H](OC(C)=O)[C@@]3(C)C([C@H](O)C2CC1=O)C([C@@H](OC(CC(N(C)C)C4=CC=CC=C4)=O)CC3)=C</t>
  </si>
  <si>
    <t>1-Deoxy-2alpha-acetoxytaxine B</t>
  </si>
  <si>
    <t>CC1=C(C2(C)C)[C@@H](OC(C)=O)[C@H](O)[C@@]3(C)C([C@H](OC(C)=O)C2CC1=O)C([C@@H](OC(CC(N(C)C)C4=CC=CC=C4)=O)CC3)=C</t>
  </si>
  <si>
    <t>1-Deoxy-2alpha,9alpha-diacetoxy-10-deacetyl-taxine B</t>
  </si>
  <si>
    <t>C35H47NO9</t>
  </si>
  <si>
    <t>CC1=C(C2(C)C)[C@@H](O)[C@H](OC(C)=O)[C@@]3(C)C([C@H](OC(C)=O)C2CC1=O)C([C@@H](OC(CC(N(C)C)C4=CC=CC=C4)=O)CC3)=C</t>
  </si>
  <si>
    <t>2'-Hydroxytaxine II</t>
  </si>
  <si>
    <t>C37H49NO10</t>
  </si>
  <si>
    <t>CC1=C2[C@H]([C@@H]([C@@]3(CC[C@@H](C(=C)[C@H]3[C@@H]([C@@H](C2(C)C)CC1=O)OC(=O)C)OC(=O)[C@@H]([C@H](C4=CC=CC=C4)N(C)C)O)C)OC(=O)C)OC(=O)C</t>
  </si>
  <si>
    <t>2alpha,7beta,9alpha,10beta-Tetraacetoxy-5alpha-[(2'R,3'S)-N,N-dimethyl-3'-phenylisoseryloxy]taxa-4(20),11-dien-13-one</t>
  </si>
  <si>
    <t>C39H51NO12</t>
  </si>
  <si>
    <t>CC1=C2[C@H]([C@@H]([C@@]3([C@H](C[C@@H](C(=C)[C@H]3[C@@H]([C@@H](C2(C)C)CC1=O)OC(=O)C)OC(=O)C(C(C4=CC=CC=C4)N(C)C)O)OC(=O)C)C)OC(=O)C)OC(=O)C</t>
  </si>
  <si>
    <t>Taxine B</t>
  </si>
  <si>
    <t>C33H45NO8</t>
  </si>
  <si>
    <t>CC1=C(C2(C)C)[C@@H](OC(C)=O)[C@H](O)[C@@]3(C)C([C@H](O)C2(O)CC1=O)C([C@@H](OC(CC(N(C)C)C4=CC=CC=C4)=O)CC3)=C</t>
  </si>
  <si>
    <t>10-Acetoxytaxine B</t>
  </si>
  <si>
    <t>CC1=C(C2(C)C)[C@@H](OC(C)=O)[C@H](O)[C@@]3(C)C([C@H](OC(C)=O)C2(O)CC1=O)C([C@@H](OC(CC(N(C)C)C4=CC=CC=C4)=O)CC3)=C</t>
  </si>
  <si>
    <t>9-Acetoxytaxine B</t>
  </si>
  <si>
    <t>CC1=C(C2(C)C)[C@@H](O)[C@H](OC(C)=O)[C@@]3(C)C([C@H](OC(C)=O)C2(O)CC1=O)C([C@@H](OC(CC(N(C)C)C4=CC=CC=C4)=O)CC3)=C</t>
  </si>
  <si>
    <t>Taxuyunnanine J</t>
  </si>
  <si>
    <t>C22H34O4</t>
  </si>
  <si>
    <t>CC1=C2[C@H](C[C@@]3(CC[C@@H](C(=C)[C@H]3C[C@@H](C2(C)C)[C@H](C1)O)OC(=O)C)C)O</t>
  </si>
  <si>
    <t>10beta,13alpha-Diacetoxytaxa-4(20),11-diene-5alpha,9alpha,14beta-triol</t>
  </si>
  <si>
    <t>CC1=C2[C@H]([C@@H]([C@@]3(CC[C@@H](C(=C)[C@H]3C[C@@H](C2(C)C)[C@H]([C@@H]1OC(=O)C)O)O)C)O)OC(=O)C</t>
  </si>
  <si>
    <t>14beta-Hydroxytaxusin </t>
  </si>
  <si>
    <t>CC1=C2[C@H]([C@@H]([C@@]3(CC[C@@H](C(=C)[C@H]3C[C@@H](C2(C)C)[C@H]([C@@H]1OC(=O)C)O)OC(=O)C)C)OC(=O)C)OC(=O)C</t>
  </si>
  <si>
    <t>5alpha,9alpha,10beta,13alpha-Tetraacetoxy-14beta-(beta-D-glucopyranosyloxy)taxa-4(20),11-diene</t>
  </si>
  <si>
    <t>C34H50O14</t>
  </si>
  <si>
    <t>CC1=C2[C@H]([C@@H]([C@@]3(CC[C@@H](C(=C)[C@H]3C[C@@H](C2(C)C)[C@H]([C@@H]1OC(=O)C)O[C@H]4[C@@H]([C@H]([C@@H]([C@H](O4)CO)O)O)O)OC(=O)C)C)OC(=O)C)OC(=O)C</t>
  </si>
  <si>
    <t>9alpha,10beta-Diacetoxytaxa-4(20),11-diene-2alpha,5alpha,14beta-triol</t>
  </si>
  <si>
    <t>CC1=C2[C@H]([C@@H]([C@@]3(CC[C@@H](C(=C)[C@H]3[C@@H]([C@@H](C2(C)C)[C@H](C1)O)O)O)C)OC(=O)C)OC(=O)C</t>
  </si>
  <si>
    <t>2alpha,10beta,14beta-Trihydroxy-5alpha-acetoxytaxa-4(20),11-diene</t>
  </si>
  <si>
    <t>C22H34O5</t>
  </si>
  <si>
    <t>CC1=C(C2(C)C)[C@@H](O)C[C@](C3[C@H](O)C2[C@@H](O)C1)(C)CC[C@H](OC(C)=O)C3=C</t>
  </si>
  <si>
    <t>5alpha,10beta,14beta-Triacetoxytaxa-4(20),11-dien-2alpha-ol</t>
  </si>
  <si>
    <t>C[C@@]1([C@](C([C@@H](OC(C)=O)CC1[H])=C)([H])[C@@H]2O)C([H])[C@H](OC(C)=O)C3=C(C)C([H])C[C@]2(OC(C)=O)C3(C)C</t>
  </si>
  <si>
    <t>2alpha,14beta-Diacetoxy-10beta-methoxytaxa-11,4(20)-dien-5alpha-ol</t>
  </si>
  <si>
    <t>C25H38O6</t>
  </si>
  <si>
    <t>CC1=C2[C@H](C[C@@]3(CC[C@@H](C(=C)[C@H]3[C@@H]([C@@H](C2(C)C)[C@H](C1)OC(=O)C)OC(=O)C)O)C)OC</t>
  </si>
  <si>
    <t>2alpha-Acetoxy-10beta-ethoxytaxa-11,4(20)-diene-5alpha,14beta-diol</t>
  </si>
  <si>
    <t>C24H38O5</t>
  </si>
  <si>
    <t>CCO[C@H]1C[C@@]2(CC[C@@H](C(=C)[C@H]2[C@@H]([C@@H]3[C@H](CC(=C1C3(C)C)C)O)OC(=O)C)O)C</t>
  </si>
  <si>
    <t>2alpha-Acetoxytaxa-4(20),11-diene-5alpha,10beta,14beta-triol</t>
  </si>
  <si>
    <t>CC1=C(C2(C)C)[C@@H](O)C[C@](C3[C@H](OC(C)=O)C2[C@@H](O)C1)(C)CC[C@H](O)C3=C</t>
  </si>
  <si>
    <t>Sinenxan H</t>
  </si>
  <si>
    <t>CC1=C2[C@H](C[C@@]3(CC[C@@H](C(=C)[C@H]3[C@@H]([C@@H](C2(C)C)[C@H](C1)OC(=O)C)OC(=O)C)O)C)O</t>
  </si>
  <si>
    <t>Hongdoushan C</t>
  </si>
  <si>
    <t>C27H42O6</t>
  </si>
  <si>
    <t>CC[C@H](C)C(=O)O[C@H]1CC(=C2[C@H](C[C@@]3(CC[C@@H](C(=C)[C@H]3[C@@H]([C@H]1C2(C)C)OC(=O)C)O)C)O)C</t>
  </si>
  <si>
    <t>Tasumatrol K</t>
  </si>
  <si>
    <t>C29H44O8</t>
  </si>
  <si>
    <t>CC1=C2[C@H](C[C@@]3(CC[C@@H](C(=C)[C@H]3[C@@H]([C@@H](C2(C)C)[C@H](C1)OC(=O)[C@H](C)[C@H](C)O)OC(=O)C)O)C)OC(=O)C</t>
  </si>
  <si>
    <t>Taxuyunnanine H</t>
  </si>
  <si>
    <t>CCC(=O)O[C@H]1CC(=C2[C@H](C[C@@]3(CC[C@@H](C(=C)[C@H]3[C@@H]([C@H]1C2(C)C)OC(=O)C)O)C)O)C</t>
  </si>
  <si>
    <t>Taxuyunnanine I</t>
  </si>
  <si>
    <t>C26H40O6</t>
  </si>
  <si>
    <t>CC1=C2[C@H](C[C@@]3(CC[C@@H](C(=C)[C@H]3[C@@H]([C@@H](C2(C)C)[C@H](C1)OC(=O)C(C)C)OC(=O)C)O)C)O</t>
  </si>
  <si>
    <t>2alpha,14beta-Diacetoxy-10beta-ethoxy-taxa-11,4(20)-dien-5alpha-ol</t>
  </si>
  <si>
    <t>CC1=C(C2(C)C)[C@@H](OCC)C[C@](C3[C@H](OC(C)=O)C2[C@@H](OC(C)=O)C1)(C)CC[C@H](O)C3=C</t>
  </si>
  <si>
    <t>2alpha,14beta-Diacetoxy-10beta-(beta-d-glucopyranosyl)-taxa-11,4(20)-dien-5alpha-ol</t>
  </si>
  <si>
    <t>C30H46O11</t>
  </si>
  <si>
    <t>CC1=C2[C@H](C[C@@]3(CC[C@@H](C(=C)[C@H]3[C@@H]([C@@H](C2(C)C)[C@H](C1)OC(=O)C)OC(=O)C)O)C)O[C@H]4[C@@H]([C@H]([C@@H]([C@H](O4)CO)O)O)O</t>
  </si>
  <si>
    <t>Taiwanxan</t>
  </si>
  <si>
    <t>CC1=C(C2(C)C)[C@@H](OC(C)=O)[C@H](OC(C)=O)[C@](C3[C@H](OC(C)=O)C2[C@@H](OC(C(C)CC)=O)C1)(C)CC[C@H](O)C3=C</t>
  </si>
  <si>
    <t>Hongdoushan A</t>
  </si>
  <si>
    <t>C29H44O7</t>
  </si>
  <si>
    <t>CC[C@H](C)C(=O)O[C@H]1CC(=C2[C@H](C[C@@]3(CC[C@@H](C(=C)[C@H]3[C@@H]([C@H]1C2(C)C)OC(=O)C)OC(=O)C)C)O)C</t>
  </si>
  <si>
    <t>Hongdoushan B</t>
  </si>
  <si>
    <t>C27H40O7</t>
  </si>
  <si>
    <t>CCC(=O)O[C@H]1CC(=C2[C@H](C[C@@]3(CC[C@@H](C(=C)[C@H]3[C@@H]([C@H]1C2(C)C)OC(=O)C)OC(=O)C)C)O)C</t>
  </si>
  <si>
    <t>Taxuyunnanine G</t>
  </si>
  <si>
    <t>CC1=C2[C@H](C[C@@]3(CC[C@@H](C(=C)[C@H]3[C@@H]([C@@H](C2(C)C)[C@H](C1)O)OC(=O)C)OC(=O)C)C)O</t>
  </si>
  <si>
    <t>10-Deacetylyunnanaxane</t>
  </si>
  <si>
    <t>O[C@@H](C([H])[C@@]1(C)[C@](C([C@@H](OC(C)=O)CC1[H])=C)([H])[C@@H]2OC(C)=O)C3=C(C)C([H])C[C@]2(OC(C(C)C)=O)C3(C)C</t>
  </si>
  <si>
    <t>2alpha,5alpha-Diacetoxy-10beta-methoxy-14beta-(2-methylbutanoyloxy)taxa-4(20),11-diene</t>
  </si>
  <si>
    <t>C30H46O7</t>
  </si>
  <si>
    <t>CC1=C(C2(C)C)[C@@H](OC)C[C@](C3[C@H](OC(C)=O)C2[C@@H](OC(C(C)CC)=O)C1)(C)CC[C@H](OC(C)=O)C3=C</t>
  </si>
  <si>
    <t>Taxuyunnanine C</t>
  </si>
  <si>
    <t>CC1=C2[C@H](C[C@@]3(CC[C@@H](C(=C)[C@H]3[C@@H]([C@@H](C2(C)C)[C@H](C1)OC(=O)C)OC(=O)C)OC(=O)C)C)OC(=O)C</t>
  </si>
  <si>
    <t>2alpha,5alpha,10beta-Triacetoxy-14beta-(2-methyl-butanoyloxy)taxa-4(20),11-diene</t>
  </si>
  <si>
    <t>CCC(C)C(=O)O[C@H]1CC(=C2[C@H](C[C@@]3(CC[C@@H](C(=C)[C@H]3[C@@H]([C@H]1C2(C)C)OC(=O)C)OC(=O)C)C)OC(=O)C)C</t>
  </si>
  <si>
    <t>Yunnanxane</t>
  </si>
  <si>
    <t>CC1=C2[C@H](C[C@@]3(CC[C@@H](C(=C)[C@H]3[C@@H]([C@@H](C2(C)C)[C@H](C1)OC(=O)C(C)C(C)O)OC(=O)C)OC(=O)C)C)OC(=O)C</t>
  </si>
  <si>
    <t>2alpha,5alpha,10beta-Triacetoxy-14beta-propionyloxy-taxa-4(20),11-diene</t>
  </si>
  <si>
    <t>C29H42O8</t>
  </si>
  <si>
    <t>CC1=C(C2(C)C)[C@@H](OC(C)=O)C[C@](C3[C@H](OC(C)=O)C2[C@@H](OC(CC)=O)C1)(C)CC[C@H](OC(C)=O)C3=C</t>
  </si>
  <si>
    <t>2alpha,5alpha,10beta-Triacetoxytaxa-14beta-isobutyryl-oxytaxa-4(20),11-dien-7beta-ol</t>
  </si>
  <si>
    <t>C30H44O8</t>
  </si>
  <si>
    <t>CC1=C(C2(C)C)[C@@H](OC(C)=O)C[C@](C3[C@H](OC(C)=O)C2[C@@H](OC(C(C)C)=O)C1)(C)CC[C@H](OC(C)=O)C3=C</t>
  </si>
  <si>
    <t>2alpha,5alpha,14beta-Triacetoxy-10beta-(beta-D-gluco-pyranosyl)taxa-4(20),11-diene</t>
  </si>
  <si>
    <t>C32H48O12</t>
  </si>
  <si>
    <t>CC1=C2[C@H](C[C@@]3(CC[C@@H](C(=C)[C@H]3[C@@H]([C@@H](C2(C)C)[C@H](C1)OC(=O)C)OC(=O)C)OC(=O)C)C)O[C@H]4[C@@H]([C@H]([C@@H]([C@H](O4)CO)O)O)O</t>
  </si>
  <si>
    <t>2alpha,5alpha-Diacetoxy-10beta-(beta-D-gluco-pyranosyl)-14beta-[(S)-2'-methyl-butanoyloxy]taxa-4(20),11-diene</t>
  </si>
  <si>
    <t>C35H54O12</t>
  </si>
  <si>
    <t>CC1=C2[C@@H](O[C@H]3[C@H](O)[C@@H](O)[C@H](O)[C@@H](CO)O3)C[C@]4(C)CC[C@H](OC(C)=O)C([C@H]4[C@H](OC(C)=O)[C@H]([C@@H](OC(C(CC)C)=O)C1)C2(C)C)=C</t>
  </si>
  <si>
    <t>10-Deacetyl-10beta-(beta-D-glucopyranosyl)yunnanxane</t>
  </si>
  <si>
    <t>C35H54O13</t>
  </si>
  <si>
    <t>CC1=C2[C@@H](O[C@H]3[C@H](O)[C@@H](O)[C@H](O)[C@@H](CO)O3)C[C@]4(C)CC[C@H](OC(C)=O)C([C@H]4[C@H](OC(C)=O)[C@H]([C@@H](OC([C@H]([C@H](O)C)C)=O)C1)C2(C)C)=C</t>
  </si>
  <si>
    <t>2alpha,5alpha,10beta-Triacetoxy-14beta-(2-methyl-butanoyloxy)taxa-4(20),11-dien-9alpha-ol</t>
  </si>
  <si>
    <t>CC1=C(C2(C)C)[C@@H](OC(C)=O)[C@H](O)[C@](C3[C@H](OC(C)=O)C2[C@@H](OC(C(C)CC)=O)C1)(C)CC[C@H](OC(C)=O)C3=C</t>
  </si>
  <si>
    <t>2alpha,9alpha,10beta-Triacetoxytaxa-4(20),11-diene-5alpha,14beta-diol</t>
  </si>
  <si>
    <t>CC1=C2[C@H]([C@@H]([C@@]3(CC[C@@H](C(=C)[C@H]3[C@@H]([C@@H](C2(C)C)[C@H](C1)O)OC(=O)C)O)C)OC(=O)C)OC(=O)C</t>
  </si>
  <si>
    <t>2alpha,5alpha,9alpha,10beta,14beta-Pentaacetoxytaxa-4(20),11-diene</t>
  </si>
  <si>
    <t>CC1=C2[C@H]([C@@H]([C@@]3(CC[C@@H](C(=C)[C@H]3[C@@H]([C@@H](C2(C)C)[C@H](C1)OC(=O)C)OC(=O)C)OC(=O)C)C)OC(=O)C)OC(=O)C</t>
  </si>
  <si>
    <t>Taxuyunnanine B</t>
  </si>
  <si>
    <t>CC1=C(C2(C)C)[C@@H](OC(C)=O)[C@H](OC(C)=O)[C@](C3[C@H](OC(C)=O)C2[C@@H](OC(C(C)CC)=O)C1)(C)CC[C@H](OC(C)=O)C3=C</t>
  </si>
  <si>
    <t>2alpha,5alpha,10beta,14beta-Tetraacetoxytaxa-4(20),11-dien-7beta-ol</t>
  </si>
  <si>
    <t>CC1=C(C2(C)C)[C@@H](OC(C)=O)C[C@](C3[C@H](OC(C)=O)C2[C@@H](OC(C)=O)C1)(C)[C@@H](O)C[C@H](OC(C)=O)C3=C</t>
  </si>
  <si>
    <t>10beta,13alpha-Diacetoxy-4beta,20-epoxytax-11-ene-2alpha,5alpha,9alpha-triol</t>
  </si>
  <si>
    <t>C24H36O8</t>
  </si>
  <si>
    <t>CC1=C2[C@@H](OC(C)=O)[C@H](O)[C@]3(C)CC[C@H](O)[C@]4(CO4)C3[C@H](O)C(C[C@@H]1OC(C)=O)C2(C)C</t>
  </si>
  <si>
    <t>1beta-Hydroxy-2,7,9-trideacetylbaccatin I</t>
  </si>
  <si>
    <t>C26H38O11</t>
  </si>
  <si>
    <t>CC1=C2[C@@H](OC(C)=O)[C@H](O)[C@]3(C)[C@@H](O)C[C@H](OC(C)=O)[C@]4(CO4)C3[C@H](O)C(C[C@@H]1OC(C)=O)(O)C2(C)C</t>
  </si>
  <si>
    <t>Taxumariene F</t>
  </si>
  <si>
    <t>C28H40O12</t>
  </si>
  <si>
    <t>CC1=C2[C@@H](OC(C)=O)[C@H](OC(C)=O)[C@]3(C)[C@@H](O)C[C@H](O)[C@]4(CO4)C3[C@H](OC(C)=O)C(C[C@@H]1OC(C)=O)(O)C2(C)C</t>
  </si>
  <si>
    <t>Taxumariene G</t>
  </si>
  <si>
    <t>CC1=C2[C@@H](OC(C)=O)[C@H](O)[C@]3(C)[C@@H](OC(C)=O)C[C@H](O)[C@]4(CO4)C3[C@H](OC(C)=O)C(C[C@@H]1OC(C)=O)(O)C2(C)C</t>
  </si>
  <si>
    <t>Taxumairol C</t>
  </si>
  <si>
    <t>CC1=C2[C@@H](O)[C@H](O)[C@]3(C)[C@@H](O)C[C@H](OC(C)=O)[C@]4(CO4)C3[C@H](OC(C)=O)C(C[C@@H]1OC(C)=O)(O)C2(C)C</t>
  </si>
  <si>
    <t>2alpha,5alpha,10beta-Triacetoxy-4beta,20-epoxytax-11-ene-1beta,7beta,9alpha,13alpha-tetraol </t>
  </si>
  <si>
    <t>C26H38O12</t>
  </si>
  <si>
    <t>CC1=C2[C@@H](OC(C)=O)[C@H](O)[C@]3(C)[C@@H](O)C[C@H](OC(C)=O)[C@]4(CO4)C3[C@H](OC(C)=O)C(C[C@@H]1O)(O)C2(C)C</t>
  </si>
  <si>
    <t>Taxumairol B</t>
  </si>
  <si>
    <t>CC1=C2[C@H]([C@@H]([C@@]3([C@H](C[C@@H]([C@@]4([C@H]3[C@@H]([C@@](C2(C)C)(C[C@@H]1OC(=O)C)O)OC(=O)C)CO4)OC(=O)C)O)C)O)OC(=O)C</t>
  </si>
  <si>
    <t>1beta-Hydroxy-2alpha,7beta-deacetylbaccatin I</t>
  </si>
  <si>
    <t>CC1=C2[C@@H](OC(C)=O)[C@H](O)[C@]3(C)[C@@H](O)C[C@H](OC(C)=O)[C@]4(CO4)C3[C@H](OC(C)=O)C(C[C@@H]1OC(C)=O)(O)C2(C)C</t>
  </si>
  <si>
    <t>Taxuspine V</t>
  </si>
  <si>
    <t>CC1=C2[C@@H](OC(C)=O)[C@H](OC(C)=O)[C@]3(C)[C@@H](OC(C)=O)CC(O)[C@]4(CO4)C3[C@H](OC(C)=O)C(C[C@@H]1OC(C)=O)(O)C2(C)C</t>
  </si>
  <si>
    <t>2alpha,5alpha,9alpha,10beta,13alpha-Pentaacetoxy-4beta,20-epoxytax-11-ene-1beta,7beta-diol</t>
  </si>
  <si>
    <t>CC1=C2[C@H]([C@@H]([C@@]3([C@H](C[C@@H]([C@]4([C@H]3[C@@H]([C@@](C2(C)C)(C[C@@H]1OC(=O)C)O)OC(=O)C)CO4)OC(=O)C)O)C)OC(=O)C)OC(=O)C</t>
  </si>
  <si>
    <t>2alpha,5alpha,7beta,10beta,13alpha-Pentaacetoxy-4beta,20-epoxytax-11-ene-1beta,9alpha-diol</t>
  </si>
  <si>
    <t>CC1=C2[C@@H](OC(C)=O)[C@H](O)[C@]3(C)[C@@H](OC(C)=O)CC(OC(C)=O)[C@]4(CO4)C3[C@H](OC(C)=O)C(C[C@@H]1OC(C)=O)(O)C2(C)C</t>
  </si>
  <si>
    <t>Taxumairol D</t>
  </si>
  <si>
    <t>O(C(C)=O)[C@@H]1[C@@]2([C@@]3([C@](C)([C@@H](OC(C)=O)[C@H](O)C=4C(C)(C)[C@](O)([C@H]3OC(C)=O)C[C@H](OC(C)=O)C4C)[C@@H](OC(C)=O)C1)[H])CO2</t>
  </si>
  <si>
    <t>Taxumairol F</t>
  </si>
  <si>
    <t>O(C(C)=O)[C@@H]1[C@@]2([C@@]3([C@](C)([C@@H](OC(C)=O)[C@H](OC(C)=O)C=4C(C)(C)[C@](O)([C@H]3OC(C)=O)C[C@H](O)C4C)[C@@H](OC(C)=O)C1)[H])CO2</t>
  </si>
  <si>
    <t>Baccatin I</t>
  </si>
  <si>
    <t>C32H44O13</t>
  </si>
  <si>
    <t>CC1=C2[C@H]([C@@H]([C@@]3([C@H](C[C@@H]([C@@]4([C@H]3[C@@H]([C@H](C2(C)C)C[C@@H]1OC(=O)C)OC(=O)C)CO4)OC(=O)C)OC(=O)C)C)OC(=O)C)OC(=O)C</t>
  </si>
  <si>
    <t>1beta-Hydroxybaccatin I</t>
  </si>
  <si>
    <t>C32H44O14</t>
  </si>
  <si>
    <t>CC1=C2C(C([C@@]3(C(CC([C@]4(C3C([C@@](C2(C)C)(CC1OC(=O)C)O)OC(=O)C)CO4)OC(=O)C)OC(=O)C)C)OC(=O)C)OC(=O)C</t>
  </si>
  <si>
    <t>1β-Acetoxy-5α-deacetylbaccatin I</t>
  </si>
  <si>
    <t>CC1=C2[C@@H](OC(C)=O)[C@H](OC(C)=O)[C@]3(C)[C@@H](OC(C)=O)C[C@H](O)[C@@]4(CO4)C3[C@H](OC(C)=O)C(C[C@@H]1OC(C)=O)(OC(C)=O)C2(C)C</t>
  </si>
  <si>
    <t>1β-Acetoxybaccatin I</t>
  </si>
  <si>
    <t>C34H46O15</t>
  </si>
  <si>
    <t>CC1=C2[C@@H](OC(C)=O)[C@H](OC(C)=O)[C@]3(C)[C@@H](OC(C)=O)C[C@H](OC(C)=O)[C@@]4(CO4)C3[C@H](OC(C)=O)C(C[C@@H]1OC(C)=O)(OC(C)=O)C2(C)C</t>
  </si>
  <si>
    <t>1β,7α-Dihydroxy-7β-deacetoxybaccatin I</t>
  </si>
  <si>
    <t>CC1=C2[C@@H](OC(C)=O)[C@H](OC(C)=O)[C@]3(C)[C@H](O)C[C@H](OC(C)=O)[C@@]4(CO4)C3[C@H](OC(C)=O)[C@@](C[C@@H]1OC(C)=O)(O)C2(C)C</t>
  </si>
  <si>
    <t>9α,10β-Diacetoxy-4β,20-epoxytax-11-ene-2α,5α,14β-triol</t>
  </si>
  <si>
    <t>CC1=C2[C@@H](OC(C)=O)[C@H](OC(C)=O)[C@]3(C)[C@H](OC(C)=O)C[C@H](O)[C@@]4(CO4)C3[C@H](O)C([C@@H](O)[C@@H]1OC(C)=O)C2(C)C</t>
  </si>
  <si>
    <t>2α,7β,9α,10β,13α-Pentaacetoxy-5α-cinnamoyl-oxy-4β,20-epoxytax-11-en-1β-ol </t>
  </si>
  <si>
    <t>C39H48O14</t>
  </si>
  <si>
    <t>CC1=C2[C@@H](OC(C)=O)[C@H](OC(C)=O)[C@]3(C)[C@H](OC(C)=O)C[C@H](OC(/C=C/C4=CC=CC=C4)=O)[C@@]5(CO5)C3[C@H](OC(C)=O)[C@@](C[C@@H]1OC(C)=O)(O)C2(C)C</t>
  </si>
  <si>
    <t>1β-Hydroxy-10β-deacetyl-10β-glycolyl-baccatin I</t>
  </si>
  <si>
    <t>C32H44O15</t>
  </si>
  <si>
    <t>CC1=C2[C@@H](OC(CO)=O)[C@H](OC(C)=O)[C@]3(C)[C@H](OC(C)=O)C[C@H](OC(C)=O)[C@@]4(CO4)C3[C@H](OC(C)=O)[C@@](C[C@@H]1OC(C)=O)(O)C2(C)C</t>
  </si>
  <si>
    <t>7β-Acetoxy-9-acetylspicataxineC-11,12-epoxides</t>
  </si>
  <si>
    <t>C41H55N1O13</t>
  </si>
  <si>
    <t>CC1=C2[C@@H](OC(C)=O)[C@H](OC(C)=O)[C@]3(C)[C@H](OC(C)=O)C[C@H](OC(CC(N(C)C)C4=CC=CC=C4)=O)[C@@]5(CO5)C3[C@H](OC(C)=O)C(C[C@@H]1OC(C)=O)C2(C)C</t>
  </si>
  <si>
    <t>Taxinine A-11,12-epoxide</t>
  </si>
  <si>
    <t>C[C@]1(O2)[C@]32[C@@H](OC(C)=O)[C@H](OC(C)=O)[C@]4(C)CC[C@H](O)C(C4[C@H](OC(C)=O)C(CC1=O)C3(C)C)=O</t>
  </si>
  <si>
    <t>Decinnamoyltaxinine B-11,12-oxide2α,9α,10β-Triacetoxy-11,12-epoxy-5α-(β-D-glucopyranosyloxy)tax-4(20)-en-13-one</t>
  </si>
  <si>
    <t>C27H36O12</t>
  </si>
  <si>
    <t>C[C@]1(O2)[C@]32[C@@H](OC(C)=O)[C@H](OC(C)=O)[C@]4(C)[C@@H](OC(C)=O)C[C@H](O)C(C4[C@H](OC(C)=O)C(CC1=O)C3(C)C)=O</t>
  </si>
  <si>
    <t>2α,10β-Diacetoxy-5α-cinnamoyloxy-11,12-epoxy-9α-hydroxytax-4(20)-en-13-one</t>
  </si>
  <si>
    <t>C32H38O10</t>
  </si>
  <si>
    <t>C[C@]1(O2)[C@]32[C@@H](OC(C)=O)[C@H](O)[C@]4(C)CC[C@H](OC(/C=C/C5=CC=CC=C5)=O)C(C4[C@H](OC(C)=O)C(CC1=O)C3(C)C)=O</t>
  </si>
  <si>
    <t>2α,9α-Diacetoxy-5α-cinnamoyloxy-11,12-epoxy-10β-hydroxytax-4(20)-en-13-one</t>
  </si>
  <si>
    <t>C[C@]1(O2)[C@]32[C@@H](O)[C@H](OC(C)=O)[C@]4(C)CC[C@H](OC(/C=C/C5=CC=CC=C5)=O)C(C4[C@H](OC(C)=O)C(CC1=O)C3(C)C)=O</t>
  </si>
  <si>
    <t>2α,7β,9α-Triacetoxy-5α-cinnamoyloxy-11,12-10β-hydroxytax-4(20)-en-13-one</t>
  </si>
  <si>
    <t>C32H38O11</t>
  </si>
  <si>
    <t>C[C@]1(O2)[C@]32[C@@H](O)[C@H](OC(C)=O)[C@]4(C)[C@@H](O)C[C@H](OC(/C=C/C5=CC=CC=C5)=O)C(C4[C@H](OC(C)=O)C(CC1=O)C3(C)C)=O</t>
  </si>
  <si>
    <t>Dantaxusin C</t>
  </si>
  <si>
    <t>C34H40O12</t>
  </si>
  <si>
    <t>C[C@]1(O2)[C@]32[C@@H](OC(C)=O)[C@H](OC(C)=O)[C@]4(C)[C@@H](O)C[C@H](OC(/C=C/C5=CC=CC=C5)=O)C(C4[C@H](OC(C)=O)C(CC1=O)C3(C)C)=O</t>
  </si>
  <si>
    <t>7β,9α-Diacetoxy-2α-benzoyloxy-11,12-epoxy -1β,5α-dihydroxy-10β-glycolyl- tax-4(20)-en-13-one</t>
  </si>
  <si>
    <t>C32H38O14</t>
  </si>
  <si>
    <t>C[C@]1(O2)[C@]32[C@@H](OC(CO)=O)[C@H](OC(C)=O)[C@]4(C)[C@@H](OC(C)=O)C[C@H](O)C(C4[C@H](OC(C5=CC=CC=C5)=O)C(CC1=O)(O)C3(C)C)=O</t>
  </si>
  <si>
    <t>1beta-Dehydroxy-4alpha-deacetyl-baccatin IV</t>
  </si>
  <si>
    <t>CC1=C2[C@@H](OC(C)=O)[C@H](OC(C)=O)[C@]3(C)[C@@H](OC(C)=O)C[C@@H]4[C@](CO4)(O)C3[C@H](OC(C)=O)C(C[C@@H]1OC(C)=O)C2(C)C</t>
  </si>
  <si>
    <t>1-Dehydroxybaccatin IV</t>
  </si>
  <si>
    <t>CC1=C2[C@H]([C@@H]([C@@]3([C@H](C[C@@H]4[C@]([C@H]3[C@@H]([C@@H](C2(C)C)C[C@@H]1OC(=O)C)OC(=O)C)(CO4)OC(=O)C)OC(=O)C)C)OC(=O)C)OC(=O)C</t>
  </si>
  <si>
    <t>1-Dehydroxybaccatin III</t>
  </si>
  <si>
    <t>C31H38O10</t>
  </si>
  <si>
    <t>CC1=C2[C@@H](OC(C)=O)C([C@]3(C)[C@@H](O)C[C@@H]4[C@](CO4)(OC(C)=O)C3[C@H](OC(C5=CC=CC=C5)=O)C(C[C@@H]1O)C2(C)C)=O</t>
  </si>
  <si>
    <t>1-Dehydroxybaccatin VI</t>
  </si>
  <si>
    <t>C37H46O13</t>
  </si>
  <si>
    <t>CC1=C2[C@H](C([C@@]3([C@H](CC4C(C3C([C@@H](C2(C)C)CC1OC(=O)C)OC(=O)C5=CC=CC=C5)(CO4)OC(=O)C)OC(=O)C)C)OC(=O)C)OC(=O)C</t>
  </si>
  <si>
    <t>2-Deacetylbaccatin IV</t>
  </si>
  <si>
    <t>CC1=C2[C@@H](OC(C)=O)[C@H](OC(C)=O)[C@]3(C)[C@@H](OC(C)=O)C[C@@H]4[C@](CO4)(OC(C)=O)C3[C@H](O)C(C[C@@H]1OC(C)=O)(O)C2(C)C</t>
  </si>
  <si>
    <t>7,9-Deacetylbaccatin IV </t>
  </si>
  <si>
    <t>CC1=C2[C@@H](OC(C)=O)[C@H](O)[C@]3(C)[C@@H](O)C[C@@H]4[C@](CO4)(OC(C)=O)C3[C@H](OC(C)=O)C(C[C@@H]1OC(C)=O)(O)C2(C)C</t>
  </si>
  <si>
    <t>Baccatin IV</t>
  </si>
  <si>
    <t>CC1=C2[C@H]([C@@H]([C@@]3([C@H](C[C@@H]4[C@]([C@H]3[C@@H]([C@@](C2(C)C)(C[C@@H]1OC(=O)C)O)OC(=O)C)(CO4)OC(=O)C)OC(=O)C)C)OC(=O)C)OC(=O)C</t>
  </si>
  <si>
    <t>4-Deacetylbaccatin IV</t>
  </si>
  <si>
    <t>CC1=C2[C@H]([C@@H]([C@@]3([C@H](C[C@@H]4[C@]([C@H]3[C@@H]([C@@](C2(C)C)(C[C@@H]1OC(=O)C)O)OC(=O)C)(CO4)O)OC(=O)C)C)OC(=O)C)OC(=O)C</t>
  </si>
  <si>
    <t>7,9,10-Deacetylbaccatin VI</t>
  </si>
  <si>
    <t>C31H41O11</t>
  </si>
  <si>
    <t>CC1=C2[C@@H](O)C(O)[C@]3(C)[C@@H](O)C[C@@H]4[C@](CO4)(OC(C)=O)C3[C@H](OC(C5=CC=CC=C5)=O)C(C[C@@H]1OC(C)=O)(O)C2(C)C</t>
  </si>
  <si>
    <t>Taxuspinanane C</t>
  </si>
  <si>
    <t>C29H36O10</t>
  </si>
  <si>
    <t>CC1=C2[C@H]([C@@H]([C@@]3([C@H](C[C@@H]4[C@]([C@H]3[C@@H]([C@@](C2(C)C)(CC1=O)O)OC(=O)C5=CC=CC=C5)(CO4)OC(=O)C)O)C)O)O</t>
  </si>
  <si>
    <t>9-Dihydrobaccatin III</t>
  </si>
  <si>
    <t>C31H40O11</t>
  </si>
  <si>
    <t>CC1=C2[C@H]([C@@H]([C@@]3([C@H](C[C@@H]4[C@]([C@H]3[C@@H]([C@@](C2(C)C)(C[C@@H]1O)O)OC(=O)C5=CC=CC=C5)(CO4)OC(=O)C)O)C)O)OC(=O)C</t>
  </si>
  <si>
    <t>9-Dihydro-13-acetylbaccatin III</t>
  </si>
  <si>
    <t>CC1=C2[C@H]([C@@H]([C@@]3([C@H](C[C@@H]4[C@]([C@H]3[C@@H]([C@@](C2(C)C)(C[C@@H]1OC(=O)C)O)OC(=O)C5=CC=CC=C5)(CO4)OC(=O)C)O)C)O)OC(=O)C</t>
  </si>
  <si>
    <t>Taxuspinanane D</t>
  </si>
  <si>
    <t>C31H38O11</t>
  </si>
  <si>
    <t>CC1=C2[C@@H](OC(C)=O)C(O)[C@]3(C)[C@@H](O)C[C@@H]4[C@](CO4)(OC(C)=O)C3[C@H](OC(C5=CC=CC=C5)=O)C(CC1=O)(O)C2(C)C</t>
  </si>
  <si>
    <t>10-Deacetyl-13-oxobaccatin III</t>
  </si>
  <si>
    <t>C29H34O10</t>
  </si>
  <si>
    <t>CC1=C2[C@H](C(=O)[C@@]3([C@H](C[C@@H]4[C@]([C@H]3[C@@H]([C@@](C2(C)C)(CC1=O)O)OC(=O)C5=CC=CC=C5)(CO4)OC(=O)C)O)C)O</t>
  </si>
  <si>
    <t>10-Deacetylbaccatin III</t>
  </si>
  <si>
    <t>CC1=C2[C@H](C(=O)[C@@]3([C@H](C[C@@H]4[C@]([C@H]3[C@@H]([C@@](C2(C)C)(C[C@@H]1O)O)OC(=O)C5=CC=CC=C5)(CO4)OC(=O)C)O)C)O</t>
  </si>
  <si>
    <t>Baccatin III</t>
  </si>
  <si>
    <t>CC1=C2[C@H](C(=O)[C@@]3([C@H](C[C@@H]4[C@]([C@H]3[C@@H]([C@@](C2(C)C)(C[C@@H]1O)O)OC(=O)C5=CC=CC=C5)(CO4)OC(=O)C)O)C)OC(=O)C</t>
  </si>
  <si>
    <t>13-Oxobaccatin III</t>
  </si>
  <si>
    <t>C31H36O11</t>
  </si>
  <si>
    <t>CC1=C2[C@@H](OC(C)=O)C([C@]3(C)[C@@H](O)C[C@@H]4[C@](CO4)(OC(C)=O)C3[C@H](OC(C5=CC=CC=C5)=O)C(CC1=O)(O)C2(C)C)=O</t>
  </si>
  <si>
    <t>Taxuspine E</t>
  </si>
  <si>
    <t>CC1=C2[C@H]([C@@H]([C@@]3([C@H](C[C@@H]4[C@]([C@H]3[C@@H]([C@@](C2(C)C)(C[C@@H]1O)O)OC(=O)C5=CC=CC=C5)(CO4)OC(=O)C)OC(=O)C)C)O)O</t>
  </si>
  <si>
    <t>9-Deacetylbaccatin VI</t>
  </si>
  <si>
    <t>C35H44O13</t>
  </si>
  <si>
    <t>CC1=C2[C@H]([C@@H]([C@@]3([C@H](C[C@@H]4[C@]([C@H]3[C@@H]([C@@](C2(C)C)(C[C@@H]1OC(=O)C)O)OC(=O)C5=CC=CC=C5)(CO4)OC(=O)C)OC(=O)C)C)O)OC(=O)C</t>
  </si>
  <si>
    <t>10-Deacetylbaccatin VI</t>
  </si>
  <si>
    <t>CC1=C2[C@H]([C@@H]([C@@]3([C@H](C[C@@H]4[C@]([C@H]3[C@@H]([C@@](C2(C)C)(C[C@@H]1OC(=O)C)O)OC(=O)C5=CC=CC=C5)(CO4)OC(=O)C)OC(=O)C)C)OC(=O)C)O</t>
  </si>
  <si>
    <t>Baccatin VI</t>
  </si>
  <si>
    <t>C37H46O14</t>
  </si>
  <si>
    <t>CC1=C2[C@H]([C@@H]([C@@]3([C@H](C[C@@H]4[C@]([C@H]3[C@@H]([C@@](C2(C)C)(C[C@@H]1OC(=O)C)O)OC(=O)C5=CC=CC=C5)(CO4)OC(=O)C)OC(=O)C)C)OC(=O)C)OC(=O)C</t>
  </si>
  <si>
    <t>1beta-Acetylbaccatin IV</t>
  </si>
  <si>
    <t>CC1=C2[C@@H](OC(C)=O)[C@H](OC(C)=O)[C@]3(C)[C@@H](OC(C)=O)C[C@@H]4[C@](CO4)(OC(C)=O)C3[C@H](OC(C)=O)C(C[C@@H]1OC(C)=O)(OC(C)=O)C2(C)C</t>
  </si>
  <si>
    <t>1beta-Acetyl-10-deacetylbaccatin III</t>
  </si>
  <si>
    <t>CC1=C2[C@@H](O)C([C@]3(C)[C@@H](O)C[C@@H]4[C@](CO4)(OC(C)=O)C3[C@H](OC(C5=CC=CC=C5)=O)C(CC1O)(OC(C)=O)C2(C)C)=O</t>
  </si>
  <si>
    <t>7-epi-9,10-Deacetylbaccatin VI</t>
  </si>
  <si>
    <t>CC1=C2[C@@H](O)C(O)[C@]3(C)[C@@H](O)C[C@@H]4[C@](CO4)(OC(C)=O)C3[C@H](OC(C5=CC=CC=C5)=O)C(CC1OC(C)=O)(O)C2(C)C</t>
  </si>
  <si>
    <t>Baccatin V</t>
  </si>
  <si>
    <t>CC1=C2[C@H](C(=O)[C@@]3([C@@H](C[C@@H]4[C@]([C@H]3[C@@H]([C@@](C2(C)C)(C[C@@H]1O)O)OC(=O)C5=CC=CC=C5)(CO4)OC(=O)C)O)C)OC(=O)C</t>
  </si>
  <si>
    <t>10-Deacetyl-10-oxobaccatin V</t>
  </si>
  <si>
    <t>CC1=C2C(=O)C(=O)[C@@]3([C@@H](C[C@@H]4[C@]([C@H]3[C@@H]([C@@](C2(C)C)(C[C@@H]1O)O)OC(=O)C5=CC=CC=C5)(CO4)OC(=O)C)O)C</t>
  </si>
  <si>
    <t>13-epi-10-Deacetylbaccatin III</t>
  </si>
  <si>
    <t>CC1=C2[C@H](C(=O)[C@@]3([C@H](C[C@@H]4[C@]([C@H]3[C@@H]([C@@](C2(C)C)(C[C@H]1O)O)OC(=O)C5=CC=CC=C5)(CO4)OC(=O)C)O)C)O</t>
  </si>
  <si>
    <t>10-Deacetyl-10beta-O-glycolyl-baccatin IV</t>
  </si>
  <si>
    <t>CC1=C2[C@@H](OC(CO)=O)[C@H](OC(C)=O)[C@]3(C)[C@@H](OC(C)=O)C[C@@H]4[C@](CO4)(OC(C)=O)C3[C@H](OC(C)=O)C(C[C@@H]1OC(C)=O)(O)C2(C)C</t>
  </si>
  <si>
    <t>Taxuspine N</t>
  </si>
  <si>
    <t>C46H57N1O14</t>
  </si>
  <si>
    <t>CC1=C2[C@@H](OC(C3=CC=CC=C3)=O)[C@H](OC(C)=O)[C@]4(C)[C@@H](OC(C)=O)C[C@@H]5[C@](CO5)(OC(C)=O)C4[C@H](OC(C)=O)C(C[C@@H]1OC(CC(N(C)C)C6=CC=CC=C6)=O)(O)C2(C)C</t>
  </si>
  <si>
    <t>Taxuspinanane J</t>
  </si>
  <si>
    <t>C40H44O12</t>
  </si>
  <si>
    <t>CC1=C2C(C(=O)C3(C(CC4C(C3C(C(C2(C)C)(CC1OC(=O)C=CC5=CC=CC=C5)O)OC(=O)C6=CC=CC=C6)(CO4)OC(=O)C)O)C)OC(=O)C</t>
  </si>
  <si>
    <t>Yunnanxol</t>
  </si>
  <si>
    <t>C40H46O14</t>
  </si>
  <si>
    <t>CC1=C2[C@H](C(=O)[C@@]3([C@H](C[C@@H]4[C@]([C@H]3[C@@H]([C@@](C2(C)C)(C[C@@H]1OC(=O)[C@@H]([C@@H](C5=CC=CC=C5)O)O)O)OC(=O)C6=CC=CC=C6)(CO4)OC(=O)C)O)C)OC(=O)C</t>
  </si>
  <si>
    <t>10beta-(beta-Hydroxybutyrl)-10-deacetylbaccatin III</t>
  </si>
  <si>
    <t>CC1=C2[C@@H](OC(CC(O)C)=O)C([C@]3(C)[C@@H](O)C[C@@H]4[C@](CO4)(OC(C)=O)C3[C@H](OC(C5=CC=CC=C5)=O)C(CC1O)(O)C2(C)C)=O</t>
  </si>
  <si>
    <t>(10beta-​O-Acetylglycolyl)baccat​in IV</t>
  </si>
  <si>
    <t>C39H48O16</t>
  </si>
  <si>
    <t>CC1=C2[C@@H](OC(COC(C)=O)=O)C(OC(C)=O)[C@]3(C)[C@@H](OC(C)=O)C[C@@H]4[C@](CO4)(OC(C)=O)C3[C@H](OC(C5=CC=CC=C5)=O)C(CC1OC(C)=O)(O)C2(C)C</t>
  </si>
  <si>
    <t>10-Hydroxyacetylbaccatin VI</t>
  </si>
  <si>
    <t>C37H46O15</t>
  </si>
  <si>
    <t>CC1=C2[C@@H](OC(CO)=O)C(OC(C)=O)[C@]3(C)[C@@H](OC(C)=O)C[C@@H]4[C@](CO4)(OC(C)=O)C3[C@H](OC(C5=CC=CC=C5)=O)C(CC1OC(C)=O)(O)C2(C)C</t>
  </si>
  <si>
    <t>7beta-(beta-D-Xylopyranosyl)-10-deacetylbaccatin III</t>
  </si>
  <si>
    <t>C37H44O10</t>
  </si>
  <si>
    <t>CC1=C2[C@@H](O)C([C@]3(C)[C@@H](OC4=C(C)C=CC=C4C)C[C@@H]5[C@](CO5)(OC(C)=O)C3[C@H](OC(C6=CC=CC=C6)=O)C(CC1O)(O)C2(C)C)=O</t>
  </si>
  <si>
    <t>2-Tigloyl-2-debenzoyl-10-deacetylbaccatin III</t>
  </si>
  <si>
    <t>C27H38O10</t>
  </si>
  <si>
    <t>CC1=C2[C@@H](O)C([C@]3(C)[C@@H](O)C[C@@H]4[C@](CO4)(OC(C)=O)C3[C@H](OC(/C(C)=C/C)=O)C(CC1O)(O)C2(C)C)=O</t>
  </si>
  <si>
    <t>Baccatin VII</t>
  </si>
  <si>
    <t>C36H52O14</t>
  </si>
  <si>
    <t>CCCCCC(=O)O[C@H]1[C@H]2[C@@]([C@H](C[C@@H]3[C@]2(CO3)OC(=O)C)OC(=O)C)([C@H]([C@@H](C4=C([C@H](C[C@]1(C4(C)C)O)OC(=O)C)C)OC(=O)C)OC(=O)C)C</t>
  </si>
  <si>
    <t>2alpha,14beta-Dihydroxy-2-deacetyl-baccatin IV</t>
  </si>
  <si>
    <t>CC1=C2[C@@H](OC(C)=O)C(OC(C)=O)[C@]3(C)[C@@H](OC(C)=O)C[C@@H]4C(CO4)C3[C@H](O)C(C(O)[C@@H]1OC(C)=O)C2(C)C</t>
  </si>
  <si>
    <t>14beta-Benzoyloxy-2-deacetyl-baccatin IV</t>
  </si>
  <si>
    <t>CC1=C2[C@H]([C@@H]([C@@]3([C@H](C[C@@H]4[C@]([C@H]3[C@@H]([C@](C2(C)C)([C@H]([C@@H]1OC(=O)C)OC(=O)C5=CC=CC=C5)O)O)(CO4)OC(=O)C)OC(=O)C)C)OC(=O)C)OC(=O)C</t>
  </si>
  <si>
    <t>14beta-Benzoyloxy-13-deacetyl-baccatin IV</t>
  </si>
  <si>
    <t>CC1=C2[C@H]([C@@H]([C@@]3([C@H](C[C@@H]4[C@]([C@H]3[C@@H]([C@](C2(C)C)([C@H]([C@@H]1O)OC(=O)C5=CC=CC=C5)O)OC(=O)C)(CO4)OC(=O)C)OC(=O)C)C)OC(=O)C)OC(=O)C</t>
  </si>
  <si>
    <t>14beta-Benzoyloxybaccatin IV</t>
  </si>
  <si>
    <t>CC1=C2[C@H]([C@@H]([C@@]3([C@H](C[C@@H]4[C@]([C@H]3[C@@H]([C@](C2(C)C)([C@H]([C@@H]1OC(=O)C)OC(=O)C5=CC=CC=C5)O)OC(=O)C)(CO4)OC(=O)C)OC(=O)C)C)OC(=O)C)OC(=O)C</t>
  </si>
  <si>
    <t>14beta-Hydroxybaccatin VI</t>
  </si>
  <si>
    <t>C35H44O12</t>
  </si>
  <si>
    <t>CC1([C@@](C([C@@H](C(C)=C1[C@@H](OC(C)=O)[C@H](OC(C)=O)[C@]2(C)[C@H](C[C@H]3OCC3[C@@]42[H])OC(C)=O)OC(C)=O)O)([C@H]4OC(C5=CC=CC=C5)=O)[H])C</t>
  </si>
  <si>
    <t>14beta-Hydroxy-10-deacetyl-baccatin III</t>
  </si>
  <si>
    <t>C29H36O11</t>
  </si>
  <si>
    <t>CC1([C@@](C([C@@H](C(C)=C1[C@@H](O)C2=O)O)O)([C@H]([C@@]3(C4(OC(C)=O)[C@H](OC4)C[C@@H]([C@]32C)O)[H])OC(C5=CC=CC=C5)=O)O)C</t>
  </si>
  <si>
    <t>Baccatin X</t>
  </si>
  <si>
    <t>C31H40O12</t>
  </si>
  <si>
    <t>CC1=C2[C@H]([C@@H]([C@@]3([C@H](C[C@@H]4[C@]([C@H]3[C@@H]([C@@](C2(C)C)([C@H]([C@@H]1O)OC(=O)C5=CC=CC=C5)O)O)(CO4)OC(=O)C)O)C)O)OC(=O)C</t>
  </si>
  <si>
    <t>14beta-Benzoyloxy-2-debenzoyl-10-deacetylbaccatin III</t>
  </si>
  <si>
    <t>CC1=C2[C@@H](O)C([C@]3(C)[C@@H](O)C[C@@H]4[C@](CO4)(OC(C)=O)[C@H]3[C@H](O)[C@]([C@@H](OC(C5=CC=CC=C5)=O)[C@@H]1O)(O)C2(C)C)=O</t>
  </si>
  <si>
    <t>Baccatin IX</t>
  </si>
  <si>
    <t>CC1=C2[C@@H](OC(C)=O)[C@H](O)[C@]3(C)[C@@H](O)C[C@@H]4[C@](CO4)(OC(C)=O)C3[C@H](OC(C5=CC=CC=C5)=O)C([C@@H](O)[C@@H]1O)(O)C2(C)C</t>
  </si>
  <si>
    <t>Baccatin VIII</t>
  </si>
  <si>
    <t>C33H42O13</t>
  </si>
  <si>
    <t>CC1=C2[C@@H](OC(C)=O)[C@H](O)[C@]3(C)[C@@H](O)C[C@@H]4[C@](CO4)(OC(C)=O)C3[C@H](OC(C5=CC=CC=C5)=O)C([C@@H](O)[C@@H]1OC(C)=O)(O)C2(C)C</t>
  </si>
  <si>
    <t>9(betaH)-9-Dihydro-19-acetoxy-10-deacetylbaccatin III</t>
  </si>
  <si>
    <t>CC1([C@@](C([C@@H](C(C)=C1[C@@H](O)[C@H](O)[C@]2(COC(C)=O)[C@H](C[C@H]3OC[C@]34OC(C)=O)O)O)O)([C@H]([C@]42[H])OC(C5=CC=CC=C5)=O)[H])C</t>
  </si>
  <si>
    <t>19-Acetoxy-7,9,10-deacetylbaccatin VI</t>
  </si>
  <si>
    <t>CC1([C@@](C([C@@H](C(C)=C1[C@@H](O)[C@H](O)[C@]2(COC(C)=O)[C@H](C[C@H]3OC[C@]34OC(C)=O)O)OC(C)=O)O)([C@H]([C@]42[H])OC(C5=CC=CC=C5)=O)[H])C</t>
  </si>
  <si>
    <t>19-Hydroxybaccatin III </t>
  </si>
  <si>
    <t>C31H38O12</t>
  </si>
  <si>
    <t>CC1=C2[C@H](C(=O)[C@@]3([C@H](C[C@@H]4[C@]([C@H]3[C@@H]([C@@](C2(C)C)(C[C@@H]1O)O)OC(=O)C5=CC=CC=C5)(CO4)OC(=O)C)O)CO)OC(=O)C</t>
  </si>
  <si>
    <t>19-Hydroxy-13-oxobaccatin III</t>
  </si>
  <si>
    <t>C31H36O12</t>
  </si>
  <si>
    <t>CC1=C2[C@H](C(=O)[C@@]3([C@H](C[C@@H]4[C@]([C@H]3[C@@H]([C@@](C2(C)C)(CC1=O)O)OC(=O)C5=CC=CC=C5)(CO4)OC(=O)C)O)CO)OC(=O)C</t>
  </si>
  <si>
    <t>7-epi-19-Hydroxybaccatin III</t>
  </si>
  <si>
    <t>CC1=C2[C@@H](OC(C)=O)C([C@]3(CO)[C@@H](O)C[C@@H]4[C@](CO4)(OC(C)=O)[C@H]3[C@H](OC(C5=CC=CC=C5)=O)[C@@](CC1O)(O)C2(C)C)=O</t>
  </si>
  <si>
    <t>13-Deacetylbaccatin VI</t>
  </si>
  <si>
    <t>C[C@@]1([C@]([C@@](CO2)(OC(C)=O)[C@H]2C[C@@H]1OC(C)=O)([H])[C@@H]3OC(C4=CC=CC=C4)=O)[C@@H](OC(C)=O)[C@H](OC(C)=O)C5=C(C)[C@@H](O)C([H])[C@]3(O)C5(C)C</t>
  </si>
  <si>
    <t>4alpha,7beta,9alpha,13alpha-Tetraacetoxy-2alpha,10beta-dibenzoyloxy-5beta,20-epoxytax-11-en-1beta-ol</t>
  </si>
  <si>
    <t>C42H48O14</t>
  </si>
  <si>
    <t>CC1([C@@](C([C@@H](C(C)=C1[C@H]([C@@H]([C@]23C)OC(C)=O)OC(C4=CC=CC=C4)=O)OC(C)=O)[H])([C@H]([C@@]3([C@@]5(OC(C)=O)[C@H](OC5)C[C@@H]2OC(C)=O)[H])OC(C6=CC=CC=C6)=O)O)C</t>
  </si>
  <si>
    <t>4alpha,7beta,13alpha-Triacetoxy-2alpha,9alpha,10beta-tribenzoyloxy-5beta,20-epoxytax-11-en-1beta-ol</t>
  </si>
  <si>
    <t>C47H50O14</t>
  </si>
  <si>
    <t>CC1([C@@](C([C@@H](C(C)=C1[C@H]([C@@H]([C@]23C)OC(C4=CC=CC=C4)=O)OC(C5=CC=CC=C5)=O)OC(C)=O)[H])([C@H]([C@@]3([C@@]6(OC(C)=O)[C@H](OC6)C[C@@H]2OC(C)=O)[H])OC(C7=CC=CC=C7)=O)O)C</t>
  </si>
  <si>
    <t>4alpha,9alpha,10beta,13alpha-Tetraacetoxy-2alpha,7beta-dibenzoyloxy-5beta,20-epoxytax-11-en-1beta-ol</t>
  </si>
  <si>
    <t>CC1([C@@](C([C@@H](C(C)=C1[C@H]([C@@H]([C@]23C)OC(C)=O)OC(C)=O)OC(C)=O)[H])([C@H]([C@@]3([C@@]4(OC(C)=O)[C@H](OC4)C[C@@H]2OC(C5=CC=CC=C5)=O)[H])OC(C6=CC=CC=C6)=O)O)C</t>
  </si>
  <si>
    <t>N-Debenzoyl-N-propanoyl-10-deacetyltaxol</t>
  </si>
  <si>
    <t>C41H49NO13</t>
  </si>
  <si>
    <t>O=C(O[C@H]1CC2(O)[C@@H](OC(C3=CC=CC=C3)=O)C4[C@@](C([C@H](O)C(C2(C)C)=C1C)=O)(C)[C@@H](O)C[C@@H]5[C@@]4(OC(C)=O)CO5)[C@H](O)[C@H](C6=CC=CC=C6)NC(CC)=O</t>
  </si>
  <si>
    <t>N-Debenzoyl-N-butanoyl-10-deacetyltaxol</t>
  </si>
  <si>
    <t>C42H51NO13</t>
  </si>
  <si>
    <t>O=C(O[C@H]1CC2(O)[C@@H](OC(C3=CC=CC=C3)=O)C4[C@@](C([C@H](O)C(C2(C)C)=C1C)=O)(C)[C@@H](O)C[C@@H]5[C@@]4(OC(C)=O)CO5)[C@H](O)[C@H](C6=CC=CC=C6)NC(CCC)=O</t>
  </si>
  <si>
    <t>10-Deacetyltaxuyunnanine A</t>
  </si>
  <si>
    <t>C44H55NO13</t>
  </si>
  <si>
    <t>O=C(O[C@H]1CC2(O)[C@@H](OC(C3=CC=CC=C3)=O)C4[C@@](C([C@H](O)C(C2(C)C)=C1C)=O)(C)[C@@H](O)C[C@@H]5[C@@]4(OC(C)=O)CO5)[C@H](O)[C@H](C6=CC=CC=C6)NC(CCCCC)=O</t>
  </si>
  <si>
    <t>N-Acetyl-N-debenzoyltaxol</t>
  </si>
  <si>
    <t>C42H49NO14</t>
  </si>
  <si>
    <t>O=C(O[C@H]1CC2(O)[C@@H](OC(C3=CC=CC=C3)=O)C4[C@@](C([C@H](OC(C)=O)C(C2(C)C)=C1C)=O)(C)[C@@H](O)C[C@@H]5[C@@]4(OC(C)=O)CO5)[C@H](O)[C@H](C6=CC=CC=C6)NC(C)=O</t>
  </si>
  <si>
    <t>Taxol D (taxcultine)</t>
  </si>
  <si>
    <t>C44H53NO14</t>
  </si>
  <si>
    <t>CCCC(=O)N[C@@H](C1=CC=CC=C1)[C@H](C(=O)O[C@H]2C[C@]3([C@H]([C@H]4[C@@]([C@H](C[C@@H]5[C@]4(CO5)OC(=O)C)O)(C(=O)[C@@H](C(=C2C)C3(C)C)OC(=O)C)C)OC(=O)C6=CC=CC=C6)O)O</t>
  </si>
  <si>
    <t>Taxol C (taxuyunnanine)</t>
  </si>
  <si>
    <t>C46H57NO14</t>
  </si>
  <si>
    <t>CC1=C([C@@H](OC(C)=O)C([C@@]2(C)[C@]([C@@](CO3)(OC(C)=O)[C@H]3C[C@@H]2O)([H])[C@@H]4OC(C5=CC=CC=C5)=O)=O)C(C)(C)[C@@]4(O)C[C@@H]1OC([C@H](O)[C@@H](N(C(CCCCC)=O)[H])C6=CC=CC=C6)=O</t>
  </si>
  <si>
    <t>N-Methyltaxol C</t>
  </si>
  <si>
    <t>C47H59NO14</t>
  </si>
  <si>
    <t>CCCCCC(=O)N(C)[C@@H](C1=CC=CC=C1)[C@H](C(=O)O[C@H]2C[C@]3([C@H]([C@H]4[C@@]([C@H](C[C@@H]5[C@]4(CO5)OC(=O)C)O)(C(=O)[C@@H](C(=C2C)C3(C)C)OC(=O)C)C)OC(=O)C6=CC=CC=C6)O)O</t>
  </si>
  <si>
    <t>N-debenzoyl-N-methyl-N-heptanoyl-taxol</t>
  </si>
  <si>
    <t>C48H61NO14</t>
  </si>
  <si>
    <t>O=C(O[C@H]1CC2(O)[C@@H](OC(C3=CC=CC=C3)=O)C4[C@@](C([C@H](OC(C)=O)C(C2(C)C)=C1C)=O)(C)[C@@H](O)C[C@@H]5[C@@]4(OC(C)=O)CO5)[C@H](O)[C@H](C6=CC=CC=C6)N(C)C(CCCCCC)=O</t>
  </si>
  <si>
    <t>7-(beta-Xylosyl)-10-deacetyltaxol D</t>
  </si>
  <si>
    <t>C47H59NO17</t>
  </si>
  <si>
    <t>O[C@@H](C([C@@]1(C)[C@]([C@@](CO2)(OC(C)=O)[C@H]2C[C@@H]1OC3O[C@H](CO)[C@H](O)[C@H]3O)([H])[C@@H]4OC(C5=CC=CC=C5)=O)=O)C6=C(C)[C@@H](OC([C@H](O)[C@@H](N(C(CCC)=O)[H])C7=CC=CC=C7)=O)C[C@]4(O)C6(C)C</t>
  </si>
  <si>
    <t>7beta-(Xylosyl)-10-deacetyltaxol C</t>
  </si>
  <si>
    <t>C49H63NO17</t>
  </si>
  <si>
    <t>O[C@H](C1=C([C@H](C[C@@]2(C1(C)C)O)OC([C@@H]([C@H](C3=CC=CC=C3)N([H])C(CCCCC)=O)O)=O)C)C([C@]4([C@]([H])([C@@H]2OC(C5=CC=CC=C5)=O)[C@]6(OC(C)=O)CO[C@@H]6C[C@@H]4OC7O[C@@H]([C@@H]([C@H]7O)O)CO)C)=O</t>
  </si>
  <si>
    <t>7-(beta-​Xylosyl)taxol D</t>
  </si>
  <si>
    <t>C49H61NO18</t>
  </si>
  <si>
    <t>O[C@H](C1=C([C@H](C[C@@]2(C1(C)C)O)OC([C@@H]([C@H](C3=CC=CC=C3)N([H])C(CCCCCC)=O)O)=O)C)C([C@]4([C@]([H])([C@@H]2OC(C5=CC=CC=C5)=O)[C@]6(OC(C)=O)CO[C@@H]6C[C@@H]4OC7O[C@@H]([C@@H]([C@H]7O)O)CO)C)=O</t>
  </si>
  <si>
    <t>7-(beta-Xylosyl)taxol C </t>
  </si>
  <si>
    <t>C51H65NO18</t>
  </si>
  <si>
    <t>O(C(C)=O)[C@]12[C@@]3([C@@](C)([C@@H](O[C@H]4[C@H](O)[C@@H](O)[C@H](O)CO4)C[C@]1(OC2)[H])C(=O)[C@H](OC(C)=O)C=5C(C)(C)[C@](O)([C@H]3OC(=O)C6=CC=CC=C6)C[C@H](OC([C@@H]([C@@H](NC(CCCCC)=O)C7=CC=CC=C7)O)=O)C5C)[H]</t>
  </si>
  <si>
    <t>7-​(beta-​Xylosyl)​-​N-​methyltaxol C</t>
  </si>
  <si>
    <t>C52H67NO18</t>
  </si>
  <si>
    <t>CCCCCC(=O)N(C)[C@@H](C1=CC=CC=C1)[C@H](C(=O)O[C@H]2C[C@]3([C@H]([C@H]4[C@@]([C@H](C[C@@H]5[C@]4(CO5)OC(=O)C)O[C@H]6[C@@H]([C@H]([C@@H](CO6)O)O)O)(C(=O)[C@@H](C(=C2C)C3(C)C)OC(=O)C)C)OC(=O)C7=CC=CC=C7)O)O</t>
  </si>
  <si>
    <t>7-epi-10-Deacetyltaxuyunnanine A  (taxuspinanane E)</t>
  </si>
  <si>
    <t>CC1=C([C@@H](O)C([C@@]2(C)[C@]([C@@](CO3)(OC(C)=O)[C@H]3C[C@H]2O)([H])[C@@H]4OC(C5=CC=CC=C5)=O)=O)C(C)(C)[C@@]4(O)C[C@@H]1OC([C@H](O)[C@@H](N(C(CCCCC)=O)[H])C6=CC=CC=C6)=O</t>
  </si>
  <si>
    <t>7-epi-Taxuyunnanine A</t>
  </si>
  <si>
    <t>O=C(O[C@@H]1C(C)=C2C(C)(C)[C@](O)([C@H]([C@@]3([C@@]4(OC(C)=O)[C@H](OC4)C[C@H]([C@]3(C([C@@H]2OC(C)=O)=O)C)O)[H])OC(C5=CC=CC=C5)=O)C1)[C@H](O)[C@@H](N(C(CCCCC)=O)[H])C6=CC=CC=C6</t>
  </si>
  <si>
    <t>10-Deacetyltaxol B</t>
  </si>
  <si>
    <t>C43H51N1O13</t>
  </si>
  <si>
    <t>C/C=C(\C)/C(=O)N[C@@H](C1=CC=CC=C1)[C@H](C(=O)O[C@H]2C[C@]3([C@H]([C@H]4[C@@]([C@H](C[C@@H]5[C@]4(CO5)OC(=O)C)O)(C(=O)[C@@H](C(=C2C)C3(C)C)O)C)OC(=O)C6=CC=CC=C6)O)O</t>
  </si>
  <si>
    <t>Taxol B (cephalomannine)</t>
  </si>
  <si>
    <t>C45H53NO14</t>
  </si>
  <si>
    <t>C/C=C(\C)/C(=O)N[C@@H](C1=CC=CC=C1)[C@H](C(=O)O[C@H]2C[C@]3([C@H]([C@H]4[C@@]([C@H](C[C@@H]5[C@]4(CO5)OC(=O)C)O)(C(=O)[C@@H](C(=C2C)C3(C)C)OC(=O)C)C)OC(=O)C6=CC=CC=C6)O)O</t>
  </si>
  <si>
    <t>N-Debenzoyl-N-(2-methylbutyryl)taxol</t>
  </si>
  <si>
    <t>C45H55N1O14</t>
  </si>
  <si>
    <t>CC1=C([C@@H](OC(C)=O)C([C@@]2(C)[C@]([C@@](CO3)(OC(C)=O)[C@H]3C[C@@H]2O)([H])[C@@H]4OC(C5=CC=CC=C5)=O)=O)C(C)(C)[C@@]4(O)C[C@@H]1OC([C@H](O)[C@@H](N(C(C(C)CC)=O)[H])C6=CC=CC=C6)=O</t>
  </si>
  <si>
    <t>Taxuspinanane A</t>
  </si>
  <si>
    <t>C47H59N1O14</t>
  </si>
  <si>
    <t>CCC(C)CCC(=O)N[C@@H](C1=CC=CC=C1)[C@H](C(=O)O[C@H]2C[C@]3([C@H]([C@H]4[C@@]([C@H](C[C@@H]5[C@]4(CO5)OC(=O)C)O)(C(=O)[C@@H](C(=C2C)C3(C)C)OC(=O)C)C)OC(=O)C6=CC=CC=C6)O)O</t>
  </si>
  <si>
    <t>N-Debenzoyl-N-methyl-N-(4-methylhexanoyl)-taxol</t>
  </si>
  <si>
    <t>CCC(CCC(N(C)[C@H]([C@@H](O)C(O[C@H]1C[C@@]2(O)[C@@H](OC(C3=CC=CC=C3)=O)[C@H]4[C@@](C([C@H](OC(C)=O)C(C2(C)C)=C1C)=O)(C)[C@@H](O)C[C@@H]5[C@@]4(OC(C)=O)CO5)=O)C6=CC=CC=C6)=O)C</t>
  </si>
  <si>
    <t>N-Debenzoyl-N-methyl-N-(cis-7-decenoyl)-taxol</t>
  </si>
  <si>
    <t>C51H65NO14</t>
  </si>
  <si>
    <t>CC1=C2[C@H](C(=O)[C@@]3([C@H](C[C@@H]4[C@]([C@H]3[C@@H]([C@@](C2(C)C)(C[C@@H]1OC(=O)[C@@H](C(C5=CC(=CC=C5)C(C)(C)C)NC(=O)OC(C)(C)C)O)O)OC(=O)C6=CC=CC=C6)(CO4)C(=O)C7CC7)O)C)OC(=O)C</t>
  </si>
  <si>
    <t>7-(beta-Xylosyl)-10-deacetyltaxuspinanane A</t>
  </si>
  <si>
    <t>C50H65N1O17</t>
  </si>
  <si>
    <t>O[C@@H](C1=O)C2=C([C@H](C[C@@]([C@H]([C@]3([H])[C@]4(OC(C)=O)CO[C@@H]4C[C@@H]([C@]31C)OC5O[C@@H]([C@@H]([C@H]5O)O)CO)OC(C6=CC=CC=C6)=O)(C(C)2C)O)OC([C@@H]([C@H](C7=CC=CC=C7)N([H])C(CCC(C)CC)=O)O)=O)C</t>
  </si>
  <si>
    <t>7beta-(Xylosyl)cephalomannine</t>
  </si>
  <si>
    <t>C50H61N1O18</t>
  </si>
  <si>
    <t>O=C([C@]12C)[C@@H](C(C(C)([C@@](C[C@@H]3OC([C@@H]([C@H](C4=CC=CC=C4)N([H])C(C(C)C=C)=O)O)=O)([C@H]([C@]2([H])[C@@]5(OC(C)=O)[C@H](OC5)C[C@@H]1OC6[C@@H]([C@H]([C@H](O6)CO)O)O)OC(C7=CC=CC=C7)=O)O)C)=C3C)OC(C)=O</t>
  </si>
  <si>
    <t>7-epi-Cephalomannine</t>
  </si>
  <si>
    <t>C/C=C(\C)/C(=O)N[C@@H](C1=CC=CC=C1)[C@H](C(=O)O[C@H]2C[C@]3([C@H]([C@H]4[C@@]([C@@H](C[C@@H]5[C@]4(CO5)OC(=O)C)O)(C(=O)[C@@H](C(=C2C)C3(C)C)OC(=O)C)C)OC(=O)C6=CC=CC=C6)O)O</t>
  </si>
  <si>
    <t>2'-Acetyl-7-epi-cephalomannine</t>
  </si>
  <si>
    <t>C47H55N1O15</t>
  </si>
  <si>
    <t>C/C=C(\C)/C(=O)N[C@@H](C1=CC=CC=C1)[C@H](C(=O)O[C@H]2C[C@]3([C@H]([C@H]4[C@@]([C@@H](CC5[C@]4(CO5)OC(=O)C)O)(C(=O)[C@@H](C(=C2C)C3(C)C)OC(=O)C)C)OC(=O)C6=CC=CC=C6)O)OC(=O)C</t>
  </si>
  <si>
    <t>10-Deacetyl-10-oxo-7-epi-cephalomannine</t>
  </si>
  <si>
    <t>C43H49N1O13</t>
  </si>
  <si>
    <t>C/C=C(\C)/C(=O)N[C@@H](C1=CC=CC=C1)[C@H](C(=O)O[C@H]2C[C@]3([C@H]([C@H]4[C@@]([C@@H](CC5[C@]4(CO5)OC(=O)C)O)(C(=O)C(=O)C(=C2C)C3(C)C)C)OC(=O)C6=CC=CC=C6)O)O</t>
  </si>
  <si>
    <t>1-Deoxytaxol</t>
  </si>
  <si>
    <t>C47H51N1O13</t>
  </si>
  <si>
    <t>O=C(O[C@H]1C[C@@H]2[C@@H](OC(C3=CC=CC=C3)=O)[C@H]4[C@@](C([C@H](OC(C)=O)C(C2(C)C)=C1C)=O)(C)[C@H](O)CC5[C@@]4(OC(C)=O)CO5)[C@H](O)[C@H](C6=CC=CC=C6)NC(C7=CC=CC=C7)=O</t>
  </si>
  <si>
    <t>10-Deacetyltaxol </t>
  </si>
  <si>
    <t>C45H49NO13</t>
  </si>
  <si>
    <t>CC1=C2[C@H](C(=O)[C@@]3([C@H](C[C@@H]4[C@]([C@H]3[C@@H]([C@@](C2(C)C)(C[C@@H]1OC(=O)[C@@H]([C@H](C5=CC=CC=C5)NC(=O)C6=CC=CC=C6)O)O)OC(=O)C7=CC=CC=C7)(CO4)OC(=O)C)O)C)O</t>
  </si>
  <si>
    <t>Paclitaxel</t>
  </si>
  <si>
    <t>C47H51NO14</t>
  </si>
  <si>
    <t>CC1=C2[C@H](C(=O)[C@@]3([C@H](C[C@@H]4[C@]([C@H]3[C@@H]([C@@](C2(C)C)(C[C@@H]1OC(=O)[C@@H]([C@H](C5=CC=CC=C5)NC(=O)C6=CC=CC=C6)O)O)OC(=O)C7=CC=CC=C7)(CO4)OC(=O)C)O)C)OC(=O)C</t>
  </si>
  <si>
    <t>N-Debenzoyl-N-cinnamoyltaxol</t>
  </si>
  <si>
    <t>C49H53N1O14</t>
  </si>
  <si>
    <t>CC1=C2[C@@H](OC(C)=O)C([C@]3(C)[C@@H](O)C[C@@H]4[C@](CO4)(OC(C)=O)[C@H]3[C@H](OC(C5=CC=CC=C5)=O)[C@@](C[C@@H]1OC([C@H](O)[C@@H](NC(/C=C/C6=CC=CC=C6)=O)C7=CC=CC=C7)=O)(O)C2(C)C)=O</t>
  </si>
  <si>
    <t>Taxuspinanane I</t>
  </si>
  <si>
    <t>C48H53N1O14</t>
  </si>
  <si>
    <t>CC1=C2[C@H](C(=O)[C@@]3([C@H](C[C@@H]4[C@]([C@H]3[C@@H]([C@@](C2(C)C)(C[C@@H]1OC(=O)[C@@H]([C@H](C5=CC=CC=C5)N(C)C(=O)C6=CC=CC=C6)O)O)OC(=O)C7=CC=CC=C7)(CO4)OC(=O)C)O)C)OC(=O)C</t>
  </si>
  <si>
    <t>7beta-Acetyl-10-deacetyltaxol</t>
  </si>
  <si>
    <t>C47H51N1O14</t>
  </si>
  <si>
    <t>CC1=C2[C@@H](O)C([C@]3(C)[C@@H](OC(C)=O)C[C@@H]4[C@](CO4)(OC(C)=O)[C@H]3[C@H](OC(C5=CC=CC=C5)=O)[C@@](C[C@@H]1OC([C@H](O)[C@@H](NC(C6=CC=CC=C6)=O)C7=CC=CC=C7)=O)(O)C2(C)C)=O</t>
  </si>
  <si>
    <t>10-Deacetyl-10-dehydro-7-acetyltaxol A</t>
  </si>
  <si>
    <t>C47H49N1O14</t>
  </si>
  <si>
    <t>CC1=C2C(C([C@]3(C)[C@@H](OC(C)=O)C[C@@H]4[C@](CO4)(OC(C)=O)[C@H]3[C@H](OC(C5=CC=CC=C5)=O)[C@@](C[C@@H]1OC([C@H](O)[C@@H](NC(C6=CC=CC=C6)=O)C7=CC=CC=C7)=O)(O)C2(C)C)=O)=O</t>
  </si>
  <si>
    <t>7-(beta-Xylosyl)-10-deacetyltaxol</t>
  </si>
  <si>
    <t>C50H57NO17</t>
  </si>
  <si>
    <t>O[C@H](C1=C([C@H](C[C@@]2(C1(C)C)O)OC([C@@H]([C@H](C3=CC=CC=C3)N([H])C(C4=CC=CC=C4)=O)O)=O)C)C([C@]5([C@]([H])([C@@H]2OC(C6=CC=CC=C6)=O)[C@]7(OC(C)=O)CO[C@@H]7C[C@@H]5OC8O[C@@H]([C@@H]([C@H]8O)O)CO)C)=O</t>
  </si>
  <si>
    <t>7-(beta-Xylosyl)taxol</t>
  </si>
  <si>
    <t>C52H59NO18</t>
  </si>
  <si>
    <t>CC1=C2[C@H](C(=O)[C@@]3([C@H](C[C@@H]4[C@]([C@H]3[C@@H]([C@@](C2(C)C)(C[C@@H]1OC(=O)[C@@H]([C@H](C5=CC=CC=C5)NC(=O)C6=CC=CC=C6)O)O)OC(=O)C7=CC=CC=C7)(CO4)OC(=O)C)O[C@H]8[C@@H]([C@H]([C@@H](CO8)O)O)O)C)OC(=O)C</t>
  </si>
  <si>
    <t>2-Debenzoyl-2-tigloyltaxol</t>
  </si>
  <si>
    <t>C45H53N1O14</t>
  </si>
  <si>
    <t>CC1=C2[C@H](C([C@@]3([C@H](C[C@@H]4[C@](OC(C)=O)([C@H]3[C@@H]([C@@](O)(C2(C)C)C[C@@H]1OC([C@@H]([C@H](C5=CC=CC=C5)NC(C6=CC=CC=C6)=O)O)=O)CC(C(C)CC)=O)CO4)O)C)=O)OC(C)=O</t>
  </si>
  <si>
    <t>7-epi-10-Deacetyltaxol</t>
  </si>
  <si>
    <t>CC1=C2[C@H](C(=O)[C@@]3([C@@H](C[C@@H]4[C@]([C@H]3[C@@H]([C@@](C2(C)C)(C[C@@H]1OC(=O)[C@@H]([C@H](C5=CC=CC=C5)NC(=O)C6=CC=CC=C6)O)O)OC(=O)C7=CC=CC=C7)(CO4)OC(=O)C)O)C)O</t>
  </si>
  <si>
    <t>7-epi-Taxol</t>
  </si>
  <si>
    <t>CC1=C2[C@H](C(=O)[C@@]3([C@@H](C[C@@H]4[C@]([C@H]3[C@@H]([C@@](C2(C)C)(C[C@@H]1OC(=O)[C@@H]([C@H](C5=CC=CC=C5)NC(=O)C6=CC=CC=C6)O)O)OC(=O)C7=CC=CC=C7)(CO4)OC(=O)C)O)C)OC(=O)C</t>
  </si>
  <si>
    <t>2'-Acetoxy-7-epi-taxol</t>
  </si>
  <si>
    <t>C49H53N1O15</t>
  </si>
  <si>
    <t>CC1=C2[C@@H](OC(C)=O)C([C@]3(C)[C@H](O)C[C@@H]4[C@](CO4)(OC(C)=O)[C@H]3[C@H](OC(C5=CC=CC=C5)=O)[C@@](C[C@@H]1OC([C@H](OC(C)=O)[C@@H](NC(C6=CC=CC=C6)=O)C7=CC=CC=C7)=O)(O)C2(C)C)=O</t>
  </si>
  <si>
    <t>10-Deacetyl-10-oxo-7-epi-taxol</t>
  </si>
  <si>
    <t>C45H47N1O13</t>
  </si>
  <si>
    <t>CC1=C2C(=O)C(=O)[C@@]3([C@@H](C[C@@H]4[C@]([C@H]3[C@@H]([C@@](C2(C)C)(C[C@@H]1OC(=O)[C@@H]([C@H](C5=CC=CC=C5)NC(=O)C6=CC=CC=C6)O)O)OC(=O)C7=CC=CC=C7)(CO4)OC(=O)C)O)C</t>
  </si>
  <si>
    <t>9-Deoxo-9alpha-hydroxytaxol</t>
  </si>
  <si>
    <t>C47H53NO14</t>
  </si>
  <si>
    <t>CC1=C2[C@@H](OC(C)=O)C([C@]3(C)[C@H](O)C[C@@H]4[C@](CO4)(OC(C)=O)[C@H]3[C@H](OC(C5=CC=CC=C5)=O)[C@@](C[C@@H]1OC([C@H](O)[C@@H](NC(C6=CC=CC=C6)=O)C7=CC=CC=C7)=O)(O)C2(C)C)O</t>
  </si>
  <si>
    <t>5alpha,10beta,13alpha-Triacetoxytax-11-ene-2alpha,7beta,9alpha,20-tetraol</t>
  </si>
  <si>
    <t>C26H40O10</t>
  </si>
  <si>
    <t>CC(O[C@@H]1[C@H]([C@@]2([C@H]([C@H]([C@@H](C[C@H]2O)OC(C)=O)CO)[C@H]([C@H](C(C)(C1=C3C)C)C[C@H]3OC(C)=O)O)C)O)=O</t>
  </si>
  <si>
    <t>5alpha,10beta,13alpha,20-Tetraacetoxytax-11-ene-2alpha,7beta,9alpha-triol</t>
  </si>
  <si>
    <t>C28H42O11</t>
  </si>
  <si>
    <t>CC(O[C@@H]1[C@H]([C@@]2([C@H]([C@H]([C@@H](C[C@H]2O)OC(C)=O)COC(C)=O)[C@H]([C@H](C(C)(C1=C3C)C)C[C@H]3OC(C)=O)O)C)O)=O</t>
  </si>
  <si>
    <t>Taxumairol E</t>
  </si>
  <si>
    <t>C30H44O12</t>
  </si>
  <si>
    <t>CC1=C2[C@H]([C@@H]([C@@]3([C@H](C[C@@H]([C@H]([C@H]3[C@@H]([C@@H](C2(C)C)C[C@@H]1OC(=O)C)O)CO)OC(=O)C)OC(=O)C)C)OC(=O)C)OC(=O)C</t>
  </si>
  <si>
    <t>Taxchin A</t>
  </si>
  <si>
    <t>C32H46O13</t>
  </si>
  <si>
    <t>CC1=C([C@@H](OC(C)=O)[C@H](OC(C)=O)[C@@]2(C)C([C@]([H])(COC(C)=O)[C@@H](OC(C)=O)C[C@@H]2OC(C)=O)[C@@H]3O)C(C)(C)[C@@]3([H])C[C@@H]1OC(C)=O</t>
  </si>
  <si>
    <t>Taxumairol N</t>
  </si>
  <si>
    <t>C28H42O12</t>
  </si>
  <si>
    <t>CC1=C2[C@H]([C@@H]([C@@]3([C@H](C[C@@H]([C@]([C@H]3[C@@H]([C@@H](C2(C)C)C[C@@H]1OC(=O)C)O)(CO)O)O)OC(=O)C)C)OC(=O)C)OC(=O)C</t>
  </si>
  <si>
    <t>Taxumairol A</t>
  </si>
  <si>
    <t>C37H48O14</t>
  </si>
  <si>
    <t>CC1=C2[C@H]([C@@H]([C@@]3([C@H](C[C@@H]([C@]([C@H]3[C@@H]([C@@H](C2(C)C)C[C@@H]1OC(=O)C)O)(COC(=O)C4=CC=CC=C4)O)OC(=O)C)OC(=O)C)C)OC(=O)C)OC(=O)C</t>
  </si>
  <si>
    <t>7,9-Deacetyltaxuspine L</t>
  </si>
  <si>
    <t>CC1=C2[C@@H](OC(C)=O)[C@H](O)[C@]3(C)[C@@H](O)C[C@H](OC(C)=O)[C@@H](CO)[C@H]3[C@H](OC(C)=O)[C@H](C[C@@H]1OC(C)=O)C2(C)C</t>
  </si>
  <si>
    <t>7-Deacetyltaxuspine L</t>
  </si>
  <si>
    <t>CC1=C2[C@@H](OC(C)=O)[C@H](O)[C@]3(C)[C@@H](OC(C)=O)C[C@H](OC(C)=O)[C@@H](CO)[C@H]3[C@H](OC(C)=O)[C@H](C[C@@H]1OC(C)=O)C2(C)C</t>
  </si>
  <si>
    <t>Taxuspine L</t>
  </si>
  <si>
    <t>CC(=O)OC[C@@]12[C@H](C[C@@H](C(=C)[C@H]1[C@@H]([C@@H]3CC([C@@]4([C@@]([C@]3(CO4)C)([C@H]([C@@H]2OC(=O)C)OC(=O)C)O)C)OC(=O)C)OC(=O)C)OC(=O)/C=C/C5=CC=CC=C5)OC(=O)C</t>
  </si>
  <si>
    <t>Taxchin B</t>
  </si>
  <si>
    <t>C41H52O14</t>
  </si>
  <si>
    <t>CC1=C([C@@H](OC(C)=O)[C@H](OC(C)=O)[C@@]2(C)C([C@]([H])(COC(/C=C/C3=CC=CC=C3)=O)[C@@H](OC(C)=O)C[C@@H]2OC(C)=O)[C@@H]4OC(C)=O)C(C)(C)[C@@]4([H])C[C@@H]1OC(C)=O</t>
  </si>
  <si>
    <t>Taxumairol L</t>
  </si>
  <si>
    <t>C32H46O14</t>
  </si>
  <si>
    <t>CC1=C2[C@H]([C@@H]([C@@]3([C@H](C[C@@H]([C@]([C@H]3[C@@H]([C@@H](C2(C)C)C[C@@H]1OC(=O)C)OC(=O)C)(COC(=O)C)O)O)OC(=O)C)C)OC(=O)C)OC(=O)C</t>
  </si>
  <si>
    <t>7beta,9alpha,10beta,13alpha,20-Pentaacetoxy-2alpha-benzoyloxytax-11-ene-4alpha,5alpha-diol</t>
  </si>
  <si>
    <t>CC1=C2[C@@H](OC(C)=O)[C@H](OC(C)=O)[C@]3(C)[C@@H](OC(C)=O)C[C@H](O)[C@](COC(C)=O)(O)[C@H]3[C@H](OC(C4=CC=CC=C4)=O)[C@H](C[C@@H]1OC(C)=O)C2(C)C</t>
  </si>
  <si>
    <t>5alpha,7beta,9alpha,10beta,13alpha-Pentaacetoxy-2alpha- benzoyloxytax-11-ene-4alpha,20-diol</t>
  </si>
  <si>
    <t>CC1=C2[C@@H](OC(C)=O)[C@H](OC(C)=O)[C@]3(C)[C@@H](OC(C)=O)C[C@H](OC(C)=O)[C@](CO)(O)[C@H]3[C@H](OC(C4=CC=CC=C4)=O)[C@H](C[C@@H]1OC(C)=O)C2(C)C</t>
  </si>
  <si>
    <t>Taxuspine R</t>
  </si>
  <si>
    <t>C32H47O14</t>
  </si>
  <si>
    <t>CC1=C2[C@@H](OC(C)=O)[C@H](OC(C)=O)[C@]3(C)[C@@H](OC(C)=O)C[C@H](OC(C)=O)C(COC(C)=O)[C@H]3[C@H](O)[C@](C[C@@H]1OC(C)=O)(O)C2(C)C</t>
  </si>
  <si>
    <t>Taxumairol O</t>
  </si>
  <si>
    <t>C28H42O13</t>
  </si>
  <si>
    <t>CC1=C2[C@H]([C@@H]([C@@]3([C@H](C[C@@H]([C@]([C@H]3[C@@H]([C@@](C2(C)C)(C[C@@H]1OC(=O)C)O)O)(CO)O)O)OC(=O)C)C)OC(=O)C)OC(=O)C</t>
  </si>
  <si>
    <t>2,20-O-Diacetyltaxumairol N</t>
  </si>
  <si>
    <t>C32H46O15</t>
  </si>
  <si>
    <t>CC1=C2[C@@H](OC(C)=O)[C@H](OC(C)=O)[C@]3(C)[C@@H](OC(C)=O)C[C@H](O)C(COC(C)=O)(O)[C@H]3[C@H](OC(C)=O)[C@](C[C@@H]1OC(C)=O)(O)C2(C)C</t>
  </si>
  <si>
    <t>Wallitaxane G</t>
  </si>
  <si>
    <t>CC1=C2[C@H](C([C@@]3([C@H](C[C@@H]([C@@](O)([C@H]3[C@@H]([C@](O)(C2(C)C)C[C@@H]1OC(C)=O)O)COC(C4=CC=CC=C4)=O)OC(C)=O)O)C)=O)OC(C)=O</t>
  </si>
  <si>
    <t>Wallitaxane H</t>
  </si>
  <si>
    <t>CC1=C2[C@H](C([C@@]3([C@H](C[C@@H]([C@@](O)([C@H]3[C@@H]([C@](O)(C2(C)C)CC1=O)O)COC(C4=CC=CC=C4)=O)OC(C)=O)O)C)=O)O</t>
  </si>
  <si>
    <t>2alpha-Deacetyl-5alpha-decinnamoyltaxagifine</t>
  </si>
  <si>
    <t>C25H34O11</t>
  </si>
  <si>
    <t>O[C@@H]1C(C2[C@@H](C(CC([C@](OC3)([C@]4([C@H]([C@@H](C2[C@H](OC(C)=O)C1)OC(C)=O)OC(C)=O)O)C)=O)[C@@]34C)O)=C</t>
  </si>
  <si>
    <t>5alpha-Decinnamoyltaxagifine</t>
  </si>
  <si>
    <t>C28H38O12</t>
  </si>
  <si>
    <t>O[C@@H]1C(C2[C@@H](C(CC([C@](OC3)([C@]4([C@H]([C@@H]([C@]2(C)[C@H](OC(C)=O)C1)OC(C)=O)OC(C)=O)O)C)=O)[C@@]34C)OC(C)=O)=C</t>
  </si>
  <si>
    <t>5-Decinnamoyl-11-acetyl-19-hydroxyl-taxagifine</t>
  </si>
  <si>
    <t>C30H40O14</t>
  </si>
  <si>
    <t>O[C@@H]1C(C2[C@@H](C(CC([C@](OC3)([C@]4([C@H]([C@@H]([C@]2(CO)[C@H](OC(C)=O)C1)OC(C)=O)OC(C)=O)OC(C)=O)C)=O)[C@@]34C)OC(C)=O)=C</t>
  </si>
  <si>
    <t>19-Debenzoyl-19-acetyltaxinine M</t>
  </si>
  <si>
    <t>CC(=O)OC[C@@]12[C@H](C[C@@H](C(=C)[C@H]1[C@@H]([C@@H]3CC(=O)[C@]4([C@@]([C@@]3(CO4)C)([C@H]([C@@H]2OC(=O)C)OC(=O)C)O)C)OC(=O)C)O)OC(=O)C</t>
  </si>
  <si>
    <t>Taxinine M</t>
  </si>
  <si>
    <t>C35H42O14</t>
  </si>
  <si>
    <t>C[C@]12[C@@]([C@@H](OC(C)=O)[C@H](OC(C)=O)[C@@]3(OC(C4=CC=CC=C4)=O)[C@](C([C@@H](O)C[C@@H]3OC(C)=O)=C)([H])[C@@H]5OC(C)=O)(C=O)[C@](CO2)(C)[C@@]5([H])C([H])[C@@H]1O</t>
  </si>
  <si>
    <t>5alpha-Acetyl-5alpha-decinnamoyltaxagifine</t>
  </si>
  <si>
    <t>C31H42O12</t>
  </si>
  <si>
    <t>CC(O[C@H]([C@]1(C)[C@H](OC(C)=O)C[C@@H]2OC(C)=C)[C@@H]([C@@]3([C@](C(CC4[C@H](C1C2=C)OC(C)=O)=O)(OC[C@]43C)C)O)OC(C)=O)=O</t>
  </si>
  <si>
    <t>Taxumairol R</t>
  </si>
  <si>
    <t>C37H44O15</t>
  </si>
  <si>
    <t>CC(=O)O[C@H]1C[C@@H]([C@@]2([C@@H](C1=C)[C@@H]([C@@H]3CC(=O)[C@@]4([C@@]([C@]3(CO4)C)([C@H]([C@@H]2OC(=O)C)OC(=O)C)O)C)OC(=O)C)COC(=O)C5=CC=CC=C5)OC(=O)C</t>
  </si>
  <si>
    <t>Taxezopidine N </t>
  </si>
  <si>
    <t>C39H51NO13</t>
  </si>
  <si>
    <t>CC(=O)O[C@H]1C[C@@H](C(=C)[C@@H]2[C@@]1([C@H]([C@@H]([C@@]3([C@]4(CO[C@@]3(C(=O)C[C@H]4[C@H]2OC(=O)C)C)C)O)OC(=O)C)OC(=O)C)C)OC(=O)C[C@H](C5=CC=CC=C5)N(C)C</t>
  </si>
  <si>
    <t>5alpha-[(R)-3'-Dimethylamino-3'-phenyl-propanoyloxy]taxinine M</t>
  </si>
  <si>
    <t>C46H55NO15</t>
  </si>
  <si>
    <t>CN([C@H](CC(O[C@@H](C[C@@H]1OC(C)=O)C([C@H]2[C@@H]([C@H](CC([C@@](OC3)([C@@]4([C@H]([C@@H]([C@]12COC(C5=CC=CC=C5)=O)OC(C)=O)OC(C)=O)O)C)=O)[C@]34C)OC(C)=O)=C)=O)C6=CC=CC=C6)C</t>
  </si>
  <si>
    <t>Taxagifine</t>
  </si>
  <si>
    <t>C37H44O13</t>
  </si>
  <si>
    <t>CC(=O)O[C@H]1C[C@@H](C(=C)[C@@H]2[C@@]1([C@H]([C@@H]([C@@]3([C@]4(CO[C@@]3(C(=O)C[C@H]4[C@H]2OC(=O)C)C)C)O)OC(=O)C)OC(=O)C)C)OC(=O)/C=C/C5=CC=CC=C5</t>
  </si>
  <si>
    <t>Taxuspine S</t>
  </si>
  <si>
    <t>C37H44O14</t>
  </si>
  <si>
    <t>CC(=O)O[C@H]1C[C@@H](C(=C)[C@@H]2[C@@]1([C@H]([C@@H]([C@@]3([C@]4(CO[C@@]3(C(=O)C[C@H]4[C@H]2OC(=O)C)C)C)O)OC(=O)C)OC(=O)C)CO)OC(=O)/C=C/C5=CC=CC=C5</t>
  </si>
  <si>
    <t>Taxuspine T</t>
  </si>
  <si>
    <t>CC(=O)OC[C@@]12[C@H](C[C@@H](C(=C)[C@H]1[C@@H]([C@@H]3CC(=O)[C@@]4([C@@]([C@]3(CO4)C)([C@H]([C@@H]2OC(=O)C)O)O)C)OC(=O)C)OC(=O)/C=C/C5=CC=CC=C5)OC(=O)C</t>
  </si>
  <si>
    <t>19-Acetoxytaxagifine</t>
  </si>
  <si>
    <t>C39H46O15</t>
  </si>
  <si>
    <t>CC(=O)OC[C@@]12[C@H](C[C@@H](C(=C)[C@H]1[C@@H]([C@@H]3CC(=O)[C@@]([C@@]4([C@@]3(CO4)C)[C@H]([C@@H]2OC(=O)C)OC(=O)C)(C)O)OC(=O)C)OC(=O)/C=C/C5=CC=CC=C5)OC(=O)C</t>
  </si>
  <si>
    <t>Taxacin</t>
  </si>
  <si>
    <t>C44H48O15</t>
  </si>
  <si>
    <t>CC(=O)O[C@H]1C[C@@H](C(=C)[C@@H]2[C@@]1([C@H]([C@@H]([C@@]3([C@]4(CO[C@@]3(C(=O)C[C@H]4[C@H]2OC(=O)C)C)C)O)OC(=O)C)OC(=O)C)COC(=O)C5=CC=CC=C5)OC(=O)/C=C/C6=CC=CC=C6</t>
  </si>
  <si>
    <t>Tasumatrol L</t>
  </si>
  <si>
    <t>C36H44O15</t>
  </si>
  <si>
    <t>CC(=O)O[C@H]1C[C@@H](C(=C)[C@@H]2[C@@]1([C@H]([C@@H]([C@@]3([C@]4(CO[C@@]3(C(=O)[C@@H]([C@H]4[C@H]2OC(=O)C)CO)C)C)O)OC(=O)C)OC(=O)C)COC(=O)C5=CC=CC=C5)O</t>
  </si>
  <si>
    <t>4-Deacetyltaxagifine III</t>
  </si>
  <si>
    <t>C22H32O10</t>
  </si>
  <si>
    <t>CC(=O)O[C@H]1CC2[C@@](CO2)([C@@H]3[C@@]1(C(=O)[C@@H]([C@@]4([C@]5(CO[C@@]4([C@H](C[C@H]5[C@H]3O)O)C)C)O)O)C)O</t>
  </si>
  <si>
    <t>Taxagifine III</t>
  </si>
  <si>
    <t>C24H34O11</t>
  </si>
  <si>
    <t>CC(=O)O[C@H]1CC2[C@@](CO2)([C@@H]3[C@@]1(C(=O)[C@@H]([C@@]4([C@]5(CO[C@@]4([C@H](C[C@H]5[C@H]3O)O)C)C)O)O)C)OC(=O)C</t>
  </si>
  <si>
    <t>Taxezopidine M</t>
  </si>
  <si>
    <t>CC1=C2[C@H]([C@@H]([C@@]3(CC[C@@H](C(=C)[C@H]3[C@@H]([C@H]4[C@]2(CO[C@]1(C4)O)C)OC(=O)C)OC(=O)C[C@H](C5=CC=CC=C5)N(C)C)C)OC(=O)C)OC(=O)C</t>
  </si>
  <si>
    <t>Taxezopidine A</t>
  </si>
  <si>
    <t>CC1=C2[C@H]([C@@H]([C@@]3(CC[C@@H](C(=C)[C@H]3[C@@H]([C@H]4[C@]2(CO[C@@]1(C4)O)C)OC(=O)C)O)C)OC(=O)C)OC(=O)C</t>
  </si>
  <si>
    <t>Taxezopidine J</t>
  </si>
  <si>
    <t>CC1=C2[C@H]([C@@H]([C@@]3(CC[C@@H](C(=C)[C@H]3[C@@H]([C@H]4[C@]2(CO[C@@]1(C4)O)C)OC(=O)C)OC(=O)/C=C/C5=CC=CC=C5)C)OC(=O)C)OC(=O)C</t>
  </si>
  <si>
    <t>2alpha,9alpha,7beta,13-Tetraacetoxytaxa-4(20),12-diene-5alpha,10beta,11beta-triol</t>
  </si>
  <si>
    <t>CC1=C(OC(C)=O)C[C@H]2[C@@H](OC(C)=O)[C@@H]3C([C@@H](O)C[C@H](OC(C)=O)[C@@]3(C)[C@@H](OC(C)=O)[C@H](O)[C@]1(O)C2(C)C)=C</t>
  </si>
  <si>
    <t>5-Decinnamoyltaxuspine D</t>
  </si>
  <si>
    <t>CC1=C(OC(C)=O)C[C@H]2[C@@H](OC(C)=O)[C@@H]3C([C@@H](O)C[C@H](OC(C)=O)[C@@]3(C)[C@@H](OC(C)=O)[C@H](OC(C)=O)[C@]1(O)C2(C)C)=C</t>
  </si>
  <si>
    <t>7-Deacetoxytaxuspine D</t>
  </si>
  <si>
    <t>C37H46O12</t>
  </si>
  <si>
    <t>CC1=C(OC(C)=O)C[C@H]2[C@@H](OC(C)=O)[C@@H]3C([C@@H](OC(/C=C/C4=CC=CC=C4)=O)C[C@H](O)[C@@]3(C)[C@@H](OC(C)=O)[C@H](OC(C)=O)[C@]1(O)C2(C)C)=C</t>
  </si>
  <si>
    <t>Taxezopidine K</t>
  </si>
  <si>
    <t>CC1=C(C[C@H]2[C@H]([C@@H]3C(=C)[C@H](C[C@@H]([C@]3([C@H]([C@@H]([C@@]1(C2(C)C)O)O)OC(=O)C)C)OC(=O)C)OC(=O)/C=C/C4=CC=CC=C4)OC(=O)C)OC(=O)C</t>
  </si>
  <si>
    <t>Taxuspine D</t>
  </si>
  <si>
    <t>CC1=C(C[C@H]2[C@H]([C@@H]3C(=C)[C@H](C[C@@H]([C@]3([C@H]([C@@H]([C@@]1(C2(C)C)O)OC(=O)C)OC(=O)C)C)OC(=O)C)OC(=O)/C=C/C4=CC=CC=C4)OC(=O)C)OC(=O)C</t>
  </si>
  <si>
    <t>Taxuspine P</t>
  </si>
  <si>
    <t>CC1=C(OC(C)=O)C[C@H]2[C@@H](OC(C)=O)[C@@H]3C([C@@H](OC(CC(N(C)C)C4=CC=CC=C4)=O)C[C@H](OC(C)=O)[C@@]3(C)[C@@H](OC(C)=O)[C@H](OC(C)=O)[C@]1(O)C2(C)C)=C</t>
  </si>
  <si>
    <t>2alpha,10beta,13alpha-Triacetoxy-5alpha-[3'-(N-formyl-N-methyl-amino)-3'-phenylpropanoyloxy]taxa-4(20),12-dien-9alpha-ol </t>
  </si>
  <si>
    <t>C37H49NO11</t>
  </si>
  <si>
    <t>CC1=C(OC(C)=O)C[C@H]2[C@@H](OC(C)=O)[C@@H]3C([C@@H](OC(CC(N(C)C=O)C4=CC=CC=C4)=O)CC[C@@]3(C)[C@@H](O)[C@H](OC(C)=O)[C@]1(O)C2(C)C)=C</t>
  </si>
  <si>
    <t>2alpha,7beta,9alpha,10beta,13-Pentaacetoxy-5alpha-(2'-hydroxy-3'-N,N-dimethylamino-3'-phenylpropanoyloxy)taxa-4(20),12-dien-11beta-ol</t>
  </si>
  <si>
    <t>CC1=C(C[C@H]2[C@H]([C@@H]3C(=C)[C@H](C[C@@H]([C@]3([C@H]([C@@H]([C@@]1(C2(C)C)O)OC(=O)C)OC(=O)C)C)OC(=O)C)OC(=O)[C@@H]([C@H](C4=CC=CC=C4)N(C)C)O)OC(=O)C)OC(=O)C</t>
  </si>
  <si>
    <t>9alpha-Acetoxy-2alpha,20-dihydroxytaxa-4(5),11(12)-dien-13-one</t>
  </si>
  <si>
    <t>C22H32O5</t>
  </si>
  <si>
    <t>CC1=C2C[C@H](OC(C)=O)[C@]3(C)CCC=C(CO)[C@H]3[C@H](O)[C@H](CC1=O)C2(C)C</t>
  </si>
  <si>
    <t>9alpha,10beta-Diacetoxy-2alpha,20-dihydroxytaxa-4(5),11(12)-dien-13-one</t>
  </si>
  <si>
    <t>CC1=C2[C@@H](OC(C)=O)[C@H](OC(C)=O)[C@]3(C)CCC=C(CO)[C@H]3[C@H](O)[C@H](CC1=O)C2(C)C</t>
  </si>
  <si>
    <t>2alpha10beta,13alpha-Triacetoxytaxa-4(5),11(12)-diene-9alpha,20-diol</t>
  </si>
  <si>
    <t>CC1=C2[C@H]([C@@H]([C@@]3(CCC=C([C@H]3[C@@H]([C@@H](C2(C)C)C[C@@H]1OC(=O)C)OC(=O)C)CO)C)O)OC(=O)C</t>
  </si>
  <si>
    <t>2alpha,10beta,13alpha-Triacetoxy-20-cinnamoyloxytaxa-4 (5),11(12)-dien-9alpha-ol</t>
  </si>
  <si>
    <t>CC1=C2[C@@H](OC(C)=O)[C@H](O)[C@]3(C)CCC=C(COC(/C=C/C4=CC=CC=C4)=O)[C@H]3[C@H](OC(C)=O)[C@H](C[C@@H]1OC(C)=O)C2(C)C</t>
  </si>
  <si>
    <t>2alpha,9alpha,10beta,13alpha-Tetraacetoxy-20-cinnamoyloxytaxa-4(5),11(12)-diene</t>
  </si>
  <si>
    <t>CC1=C2[C@H]([C@@H]([C@@]3(CCC=C([C@H]3[C@@H]([C@@H](C2(C)C)C[C@@H]1OC(=O)C)OC(=O)C)COC(=O)/C=C/C4=CC=CC=C4)C)OC(=O)C)OC(=O)C</t>
  </si>
  <si>
    <t>2alpha,10beta-Diacetoxy-11beta,12beta-epoxy-9alpha,20-dihydroxytaxa-4-en-13-one </t>
  </si>
  <si>
    <t>C[C@]1(O2)[C@]32[C@H]([C@@H]([C@@]4(CCC=C([C@H]4[C@@H]([C@@H](C3(C)C)CC1=O)OC(C)=O)CO)C)O)OC(C)=O</t>
  </si>
  <si>
    <t>2alpha,9alpha-Diacetoxy-11beta,12beta-epoxy-10beta,20-dihydroxytaxa-4-en-13-one</t>
  </si>
  <si>
    <t>C[C@]1(O2)[C@]32[C@H]([C@@H]([C@@]4(CCC=C([C@H]4[C@@H]([C@@H](C3(C)C)CC1=O)OC(C)=O)CO)C)OC(C)=O)O</t>
  </si>
  <si>
    <t>2alpha,9alpha,10beta-Triacetoxy-11beta,12beta-epoxy-20-hydroxytaxa-4-en-13-one</t>
  </si>
  <si>
    <t>C[C@]1(O2)[C@]32[C@H]([C@@H]([C@@]4(CCC=C([C@H]4[C@@H]([C@@H](C3(C)C)CC1=O)OC(C)=O)CO)C)OC(C)=O)OC(C)=O</t>
  </si>
  <si>
    <t>2alpha,9alpha,10beta-Triacetoxy-20-cinnamoyoloxy-11beta,12beta-epoxytaxa-4-en-13-one</t>
  </si>
  <si>
    <t>C[C@]1(O2)[C@]32[C@H]([C@@H]([C@@]4(CCC=C([C@H]4[C@@H]([C@@H](C3(C)C)CC1=O)OC(C)=O)COC(/C=C/C5=CC=CC=C5)=O)C)OC(C)=O)OC(C)=O</t>
  </si>
  <si>
    <t>Taxezopidine B</t>
  </si>
  <si>
    <t>C26H38O10</t>
  </si>
  <si>
    <t>C[C@@H]1C(=O)C[C@H]2[C@H](C3=C([C@H](CC[C@]3([C@H]([C@@H]([C@@]1(C2(C)C)O)OC(=O)C)OC(=O)C)C)O)CO)OC(=O)C</t>
  </si>
  <si>
    <t>2alpha,10beta,13alpha-Triacetoxytaxa-4(20),5,11-trien-9-ol</t>
  </si>
  <si>
    <t>C26H36O7</t>
  </si>
  <si>
    <t>CC(C(C[C@H]1[C@@H](OC(C)=O)C23)OC(C)=O)=C(C1(C)C)[C@@H](OC(C)=O)[C@H](O)[C@]3(C)CC=CC2=C</t>
  </si>
  <si>
    <t>Taxuyunnanine Z</t>
  </si>
  <si>
    <t>C26H38O11 </t>
  </si>
  <si>
    <t>CC1=C2[C@H]([C@@H]([C@@]3([C@H](C[C@@H]([C@@]4([C@H]3[C@@H]([C@@](C2(C)C)(C[C@@H]1OC(=O)C)O)OC4)O)OC(=O)C)O)C)O)OC(=O)C</t>
  </si>
  <si>
    <t>Taxuspine K</t>
  </si>
  <si>
    <t>CC(O[C@H]1[C@@H]([C@]2([C@@H]3[C@@H]([C@](C[C@@H]4OC(C)=O)(C(C)(C1=C4C)C)O)OC[C@@]3([C@H](C[C@@H]2OC(C)=O)O)OC(C)=O)C)OC(C)=O)=O</t>
  </si>
  <si>
    <t>Taxiwallinine</t>
  </si>
  <si>
    <t>C33H40O7</t>
  </si>
  <si>
    <t>CC1=C2C(CO3)(C)C(CC4[C@@](C)(CCC(OC(/C=C/C5=CC=CC=C5)=O)C4=C)C[C@]23OC(C)=O)CC1OC(C)=O</t>
  </si>
  <si>
    <t>Taxchinin N</t>
  </si>
  <si>
    <t>C30H38O12</t>
  </si>
  <si>
    <t>CC1=C2[C@H]([C@@H]([C@@]3([C@H](CC=C4[C@H]3[C@@H]([C@@](C2(C)C)(C[C@@H]1OC(=O)C)OC(=O)C)OC4=O)OC(=O)C)C)OC(=O)C)OC(=O)C</t>
  </si>
  <si>
    <t>(12alphaH)-2alpha,10beta-Diacetoxy-5alpha-cinnamoyloxy-9alpha,13alpha-epoxytax-4(20)-ene-11beta,13beta-diol</t>
  </si>
  <si>
    <t>C33H42O9</t>
  </si>
  <si>
    <t>C[C@H]1[C@@]2(C[C@H]3[C@H]([C@@H]4C(=C)[C@H](CC[C@]4([C@@H](O2)[C@@H]([C@@]1(C3(C)C)O)OC(=O)C)C)OC(=O)/C=C/C5=CC=CC=C5)OC(=O)C)O</t>
  </si>
  <si>
    <t>4alpha,10beta,13alpha-Acetoxy-2alpha-benzoyloxy-7beta,9alpha-epidioxy-5beta,20-epoxytax-11-en-1beta-ol</t>
  </si>
  <si>
    <t>C33H40O12</t>
  </si>
  <si>
    <t>CC1=C2[C@@H](OC(C)=O)C3[C@]4(C)[C@@H](OO3)C[C@@H]5[C@](CO5)(OC(C)=O)[C@H]4[C@H](OC(C6=CC=CC=C6)=O)[C@](C[C@@H]1OC(C)=O)(O)C2(C)C</t>
  </si>
  <si>
    <t>Baccataxinine</t>
  </si>
  <si>
    <t>CC1=C2[C@@H](OC(C)=O)[C@H](OC(C)=O)[C@]3(C)CC[C@@H](OC(/C=C/C4=CC=CC=C4)=O)C([C@H]3[C@H]5[C@](CC1=O)(O[C@](C)(OC)O5)C2(C)C)=O</t>
  </si>
  <si>
    <t>O[C@H]1[C@@H]([C@]2(C(C([C@H](CC2)O)=C)C[C@](C[C@@H]3O)(C1=C3C)C(C)(C)O)C)OC(C)=O</t>
  </si>
  <si>
    <r>
      <rPr>
        <sz val="11"/>
        <color theme="1"/>
        <rFont val="Times New Roman"/>
        <charset val="134"/>
      </rPr>
      <t>9alpha,13alpha-Diacetoxy-11(15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1)abeotaxa-4(20),11-diene-5alpha,10beta,15-triol</t>
    </r>
  </si>
  <si>
    <t>O[C@H]1[C@@H]([C@]2(C(C([C@H](CC2)O)=C)C[C@](C[C@@H]3OC(C)=O)(C1=C3C)C(C)(C)O)C)OC(C)=O</t>
  </si>
  <si>
    <r>
      <rPr>
        <sz val="11"/>
        <color theme="1"/>
        <rFont val="Times New Roman"/>
        <charset val="134"/>
      </rPr>
      <t>9alpha,10beta-Diacetoxy-11(15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1)abeotaxa-4(20),11-diene-5alpha,13alpha,15-triol</t>
    </r>
  </si>
  <si>
    <t>CC(O[C@H]1[C@@H]([C@]2(C(C([C@H](CC2)O)=C)C[C@](C[C@@H]3O)(C1=C3C)C(C)(C)O)C)OC(C)=O)=O</t>
  </si>
  <si>
    <r>
      <rPr>
        <sz val="11"/>
        <color theme="1"/>
        <rFont val="Times New Roman"/>
        <charset val="134"/>
      </rPr>
      <t>9alpha,10beta,13alpha-Triacetoxy-11(15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1)abeotaxa-4(20),11-diene-5alpha,15-diol</t>
    </r>
  </si>
  <si>
    <t>CC1=C2[C@H]([C@@H]([C@@]3(CC[C@@H](C(=C)[C@H]3C[C@]2(C[C@@H]1OC(=O)C)C(C)(C)O)O)C)OC(=O)C)OC(=O)C</t>
  </si>
  <si>
    <r>
      <rPr>
        <sz val="11"/>
        <color theme="1"/>
        <rFont val="Times New Roman"/>
        <charset val="134"/>
      </rPr>
      <t>7beta,9alpha-Diacetoxy-5alpha,15-dihydroxy-11(15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1)abeotaxa-4(20),11-dien-13-one</t>
    </r>
  </si>
  <si>
    <t>CC(O[C@@H](CC1=C2C)[C@]3(C(C([C@H](C[C@@H]3OC(C)=O)O)=C)C[C@@]1(CC2=O)C(C)(C)O)C)=O</t>
  </si>
  <si>
    <t>Taxawallin F</t>
  </si>
  <si>
    <t>OC1[C@@H]([C@]2(C(C([C@H](C[C@@H]2OC(C)=O)O)=C)C[C@](CC3OC(C)=O)(C1=C3C)C(C)(C)O)C)OC(C)=O</t>
  </si>
  <si>
    <t>Taxawallin H</t>
  </si>
  <si>
    <t>CC(OC1[C@@H]([C@]2(C(C([C@H](C[C@@H]2OC(C)=O)O)=C)C[C@](CC3O)(C1=C3C)C(C)(C)O)C)OC(C)=O)=O</t>
  </si>
  <si>
    <r>
      <rPr>
        <sz val="11"/>
        <color theme="1"/>
        <rFont val="Times New Roman"/>
        <charset val="134"/>
      </rPr>
      <t>7beta,9alpha,10beta,13alpha-Tetraacetoxy-11(15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1)abeotaxa-4(20),11-diene-5alpha,15-diol</t>
    </r>
  </si>
  <si>
    <t>CC(OC1[C@@H]([C@]2(C(C([C@H](C[C@@H]2OC(C)=O)O)=C)C[C@](CC3OC(C)=O)(C1=C3C)C(C)(C)O)C)OC(C)=O)=O</t>
  </si>
  <si>
    <t>13-Acetylbrevifoliol</t>
  </si>
  <si>
    <t>O=C(O[C@H]1[C@@H]([C@]2(C(C([C@H](C[C@@H]2OC(C)=O)O)=C)C[C@](C[C@@H]3OC(C)=O)(C1=C3C)C(C)(C)O)C)OC(C)=O)C4=CC=CC=C4</t>
  </si>
  <si>
    <t>9-Deacetyl-9-benzoyl-10-debenzoylbrevifoliol</t>
  </si>
  <si>
    <t>C29H38O8</t>
  </si>
  <si>
    <t>O[C@H]1[C@@H]([C@]2(C(C([C@H](C[C@@H]2OC(C)=O)O)=C)C[C@](C[C@@H]3O)(C1=C3C)C(C)(C)O)C)OC(C4=CC=CC=C4)=O</t>
  </si>
  <si>
    <t>Taxawallin D</t>
  </si>
  <si>
    <t>CC(O[C@H]1[C@@H]([C@]2(C(C([C@H](C[C@@H]2OC(C)=O)O)=C)C[C@](C[C@@H]3OC(C)=O)(C1=C3C)C(C)(C)O)C)OC(C4=CC=CC=C4)=O)=O</t>
  </si>
  <si>
    <r>
      <rPr>
        <sz val="11"/>
        <color theme="1"/>
        <rFont val="Times New Roman"/>
        <charset val="134"/>
      </rPr>
      <t>5alpha,9alpha,10beta,13alpha-Tetracetoxy-11(15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1)abeotaxa-4(20),11-dien-15-ol</t>
    </r>
  </si>
  <si>
    <t>CC(O[C@H]1[C@@H]([C@]2(C(C([C@H](CC2)OC(C)=O)=C)C[C@](C[C@@H]3OC(C)=O)(C1=C3C)C(C)(C)O)C)OC(C)=O)=O</t>
  </si>
  <si>
    <t>5,10,13-Triacetyl-10-debenzoylbrevifoliol</t>
  </si>
  <si>
    <t>C30H42O11 </t>
  </si>
  <si>
    <t>CC(O[C@H]1[C@@H]([C@]2(C(C([C@H](C[C@@H]2OC(C)=O)OC(C)=O)=C)C[C@](C[C@@H]3OC(C)=O)(C1=C3C)C(C)(C)O)C)OC(C)=O)=O</t>
  </si>
  <si>
    <r>
      <rPr>
        <sz val="11"/>
        <color theme="1"/>
        <rFont val="Times New Roman"/>
        <charset val="134"/>
      </rPr>
      <t>13alpha-Acetoxy-5alpha-cinnamoyloxy-11(15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1)abeotaxa-4(20),11-diene-9alpha,10beta,15-triol</t>
    </r>
  </si>
  <si>
    <t>C31H40O7</t>
  </si>
  <si>
    <t>O[C@H]1[C@@H]([C@]2(C(C([C@H](CC2)OC(/C=C/C3=CC=CC=C3)=O)=C)C[C@](C[C@@H]4OC(C)=O)(C1=C4C)C(C)(C)O)C)O</t>
  </si>
  <si>
    <t>Chinentaxunine</t>
  </si>
  <si>
    <t>CC1=C2[C@H]([C@@H]([C@@]3(CC[C@@H](C(=C)[C@H]3C[C@@]2(C[C@@H]1OC(=O)C)C(C)(C)O)OC(=O)/C=C/C4=CC=CC=C4)C)OC(=O)C)O</t>
  </si>
  <si>
    <t>7-Deacetoxytaxuspine J</t>
  </si>
  <si>
    <t>CC(O[C@@H]([C@@H]1OC(C)=O)[C@]2([C@@H](C([C@H](CC2)OC(/C=C/C3=CC=CC=C3)=O)=C)C[C@](C[C@@H]4OC(C)=O)(C1=C4C)C(C)(C)O)C)=O</t>
  </si>
  <si>
    <r>
      <rPr>
        <sz val="11"/>
        <color theme="1"/>
        <rFont val="Times New Roman"/>
        <charset val="134"/>
      </rPr>
      <t>9alpha,13alpha-Diacetoxy-10beta-benzoyloxy-5alpha-cinnamoyloxy-11(15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1)abeotaxa- 4(20),11-dien-15-ol</t>
    </r>
  </si>
  <si>
    <t>C40H46O9</t>
  </si>
  <si>
    <t>CC(O[C@@H]([C@@H]1OC(C2=CC=CC=C2)=O)[C@]3([C@@H](C([C@H](CC3)OC(/C=C/C4=CC=CC=C4)=O)=C)C[C@](C[C@@H]5OC(C)=O)(C1=C5C)C(C)(C)O)C)=O</t>
  </si>
  <si>
    <t>Taxuspine M</t>
  </si>
  <si>
    <t>C35H44O10</t>
  </si>
  <si>
    <t>O[C@H]1[C@@H]([C@]2([C@@H](C([C@H](C[C@@H]2OC(C)=O)OC(/C=C/C3=CC=CC=C3)=O)=C)C[C@](C[C@@H]4OC(C)=O)(C1=C4C)C(C)(C)O)C)OC(C)=O</t>
  </si>
  <si>
    <t>Taxuspine J</t>
  </si>
  <si>
    <t>CC1=C2[C@H]([C@@H]([C@@]3([C@H](C[C@@H](C(=C)[C@H]3C[C@@]2(C[C@@H]1OC(=O)C)C(C)(C)O)OC(=O)/C=C/C4=CC=CC=C4)OC(=O)C)C)OC(=O)C)OC(=O)C</t>
  </si>
  <si>
    <t>Taxchinin H</t>
  </si>
  <si>
    <t>CC(O[C@@H]([C@@H]1OC(C2=CC=CC=C2)=O)[C@]3([C@@H](C([C@H](C[C@@H]3OC(C)=O)OC(/C=C/C4=CC=CC=C4)=O)=C)C[C@](C[C@@H]5O)(C1=C5C)C(C)(C)O)C)=O</t>
  </si>
  <si>
    <t>Taxuspine A</t>
  </si>
  <si>
    <t>C42H48O11</t>
  </si>
  <si>
    <t>CC1=C2[C@H]([C@@H]([C@@]3([C@H](C[C@@H](C(=C)[C@H]3C[C@@]2(C[C@@H]1OC(=O)C)C(C)(C)O)OC(=O)/C=C/C4=CC=CC=C4)OC(=O)C)C)OC(=O)C)OC(=O)C5=CC=CC=C5</t>
  </si>
  <si>
    <r>
      <rPr>
        <sz val="11"/>
        <color theme="1"/>
        <rFont val="Times New Roman"/>
        <charset val="134"/>
      </rPr>
      <t>9alpha,13alpha-Diacetoxy-10beta-benzoyloxy-5alpha-[(R)-3'-dimethylamino-3'-phenylpropanoyloxy]-11(15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1)abeotaxa-4(20),11-dien-15-ol</t>
    </r>
  </si>
  <si>
    <t>C42H53NO9</t>
  </si>
  <si>
    <t>CC(O[C@@H]([C@@H]1OC(C2=CC=CC=C2)=O)[C@]3([C@@H](C([C@H](CC3)OC(CC(N(C)C)C4=CC=CC=C4)=O)=C)C[C@](C[C@@H]5OC(C)=O)(C1=C5C)C(C)(C)O)C)=O</t>
  </si>
  <si>
    <r>
      <rPr>
        <sz val="11"/>
        <color theme="1"/>
        <rFont val="Times New Roman"/>
        <charset val="134"/>
      </rPr>
      <t>7beta,9alpha,13alpha-Triacetoxy-10beta-benzoyloxy-5alpha-(3'-di-methylamino-3'-phenylpropanoyloxy)-11-(15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1)abeotaxa-4(20),11-dien-1beta-ol</t>
    </r>
  </si>
  <si>
    <t>C44H55NO11</t>
  </si>
  <si>
    <t>CC(O[C@@H]([C@@H]1OC(C2=CC=CC=C2)=O)[C@]3([C@@H](C([C@H](C[C@@H]3OC(C)=O)OC(CC(N(C)C)C4=CC=CC=C4)=O)=C)C[C@](C[C@@H]5OC(C)=O)(C1=C5C)C(C)(C)O)C)=O</t>
  </si>
  <si>
    <r>
      <rPr>
        <sz val="11"/>
        <color theme="1"/>
        <rFont val="Times New Roman"/>
        <charset val="134"/>
      </rPr>
      <t>13alpha-acetoxy-5alpha-[(R)-3'-dimethylamino-3'-phenylpropanoyloxy]-11(15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1)abeotaxa-4(20),11-diene-9alpha,10beta-diol</t>
    </r>
  </si>
  <si>
    <t>C33H47NO7</t>
  </si>
  <si>
    <t>O[C@H]1[C@@H]([C@]2([C@@H](C([C@H](CC2)OC(CC(N(C)C)C3=CC=CC=C3)=O)=C)C[C@](C[C@@H]4OC(C)=O)(C1=C4C)C(C)(C)O)C)O</t>
  </si>
  <si>
    <r>
      <rPr>
        <sz val="11"/>
        <color theme="1"/>
        <rFont val="Times New Roman"/>
        <charset val="134"/>
      </rPr>
      <t>7beta,9alpha,13alpha-Triacetoxy-10beta-benzoyloxy-5alpha-(3'-methyl-amino-3'-phenylpropanoyloxy)-11- (15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1)abeotaxa-4(20),11-dien-1beta-ol</t>
    </r>
  </si>
  <si>
    <t>C43H53NO11</t>
  </si>
  <si>
    <t>CC(O[C@@H]([C@@H]1OC(C2=CC=CC=C2)=O)[C@]3([C@@H](C([C@H](C[C@@H]3OC(C)=O)OC(CC(NC)C4=CC=CC=C4)=O)=C)C[C@](C[C@@H]5OC(C)=O)(C1=C5C)C(C)(C)O)C)=O</t>
  </si>
  <si>
    <t>Teixidol</t>
  </si>
  <si>
    <t>CC1=C2[C@H]([C@@H]([C@@]3(CC[C@@H](C(=C)[C@H]3[C@@H]([C@]2(C[C@@H]1OC(=O)C)C(C)(C)O)OC(=O)C)O)C)OC(=O)C)OC(=O)C</t>
  </si>
  <si>
    <t>Taxuspine Y</t>
  </si>
  <si>
    <t>C31H38O9</t>
  </si>
  <si>
    <t>CC1=C2[C@H]([C@@H]([C@@]3(CC[C@@H](C(=C)[C@H]3[C@@H]([C@@]2(CC1=O)C(C)(C)O)OC(=O)C)O)C)OC(=O)C)OC(=O)C4=CC=CC=C4</t>
  </si>
  <si>
    <t>Taxacustone</t>
  </si>
  <si>
    <t>CC1=C2[C@H]([C@@H]([C@@]3(CC[C@@H](C(=C)[C@H]3[C@@H](C2(CC1=O)C(C)(C)O)OC(=O)C)O)C)OC(=O)C)O</t>
  </si>
  <si>
    <r>
      <rPr>
        <sz val="11"/>
        <color theme="1"/>
        <rFont val="Times New Roman"/>
        <charset val="134"/>
      </rPr>
      <t>2alpha,9alpha,15-Triacetoxy-11(15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1)abeotaxa-4(20),11-diene-5alpha,7beta,10beta,13alpha-tetraol</t>
    </r>
  </si>
  <si>
    <t>CC1=C2[C@H]([C@@H]([C@@]3([C@H](C[C@@H](C(=C)[C@H]3[C@@H]([C@@]2(C[C@@H]1O)C(C)(C)OC(=O)C)OC(=O)C)O)O)C)OC(=O)C)O</t>
  </si>
  <si>
    <t>Taxuspine O</t>
  </si>
  <si>
    <t>C26H36O10</t>
  </si>
  <si>
    <t>CC1=C2C([C@@H](OC(C)=O)[C@@](C([C@@H](O)C[C@@H]3O)=C)([H])[C@]3(C)[C@@H](OC(C)=O)[C@@H]2OC(C)=O)[C@@H](C(O)(C)C)C1=O</t>
  </si>
  <si>
    <r>
      <rPr>
        <sz val="11"/>
        <color theme="1"/>
        <rFont val="Times New Roman"/>
        <charset val="134"/>
      </rPr>
      <t>2alpha-Acetoxy-9alpha-benzoyloxy-5alpha,7beta,10beta,15-tetrahydroxy-11(15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1)abeotaxa-4(20),11-dien-13-one</t>
    </r>
  </si>
  <si>
    <t>C29H36O9</t>
  </si>
  <si>
    <t>O=C([C@@H](C12)C(C)(O)C)C(C)=C2[C@H]([C@@H]([C@]([C@H](C[C@@H](C3=C)O)O)([C@@]3([C@@H]1OC(C)=O)[H])C)OC(C4=CC=CC=C4)=O)O</t>
  </si>
  <si>
    <t>10-Debenzoyl-2alpha-acetoxybrevifoliol</t>
  </si>
  <si>
    <t>CC1=C2[C@H]([C@@H]([C@@]3([C@H](C[C@@H](C(=C)[C@H]3[C@@H]([C@@]2(C[C@@H]1O)C(C)(C)O)OC(=O)C)O)OC(=O)C)C)OC(=O)C)O</t>
  </si>
  <si>
    <t>Taxchinin G</t>
  </si>
  <si>
    <t>CC1=C2[C@H]([C@@H]([C@@]3([C@H](C[C@@H](C(=C)[C@H]3[C@@H]([C@@]2(C[C@@H]1OC(=O)C)C(C)(C)O)OC(=O)C)O)OC(=O)C)C)OC(=O)C)O</t>
  </si>
  <si>
    <t>Taxchinin A</t>
  </si>
  <si>
    <t>CC1=C2[C@H]([C@@H]([C@@]3([C@H](C[C@@H](C(=C)[C@H]3[C@@H]([C@@]2(C[C@@H]1O)C(C)(C)O)OC(=O)C)O)OC(=O)C)C)OC(=O)C)OC(=O)C4=CC=CC=C4</t>
  </si>
  <si>
    <t>Taxchinin D</t>
  </si>
  <si>
    <t>CC1=C2C([C@@H](OC(C)=O)[C@@](C([C@@H](O)C[C@@H]3OC(C)=O)=C)([H])[C@]3(C)[C@@H](OC(C)=O)[C@@H]2OC(C4=CC=CC=C4)=O)[C@@H](C(O)(C)C)[C@@H]1OC(C)=O</t>
  </si>
  <si>
    <t>Taxuspinanane B</t>
  </si>
  <si>
    <t>C33H40O11</t>
  </si>
  <si>
    <t>CC1=C2[C@H]([C@@H]([C@@]3([C@H](C[C@@H](C(=C)[C@H]3[C@@H]([C@@]2(CC1=O)C(C)(C)O)OC(=O)C)O)OC(=O)C)C)OC(=O)C)OC(=O)C4=CC=CC=C4</t>
  </si>
  <si>
    <t>Taxchinin E</t>
  </si>
  <si>
    <t>C42H48O12</t>
  </si>
  <si>
    <t>O=C(O[C@H]1[C@@H]([C@]2([C@@H](C([C@H](C[C@@H]2OC(C)=O)O)=C)[C@@H]([C@](CC3OC(/C=C/C4=CC=CC=C4)=O)(C1=C3C)C(C)(C)O)OC(C)=O)C)OC(C)=O)C5=CC=CC=C5</t>
  </si>
  <si>
    <t>9-Deacetyl-9-benzoyl-10-debenzoyltaxchinin A</t>
  </si>
  <si>
    <t>C31H40O10</t>
  </si>
  <si>
    <t>CC1=C2[C@H]([C@@H]([C@@]3([C@H](C[C@@H](C(=C)[C@H]3[C@@H]([C@@]2(C[C@@H]1O)C(C)(C)O)OC(=O)C)O)OC(=O)C)C)OC(=O)C4=CC=CC=C4)O</t>
  </si>
  <si>
    <t>13-Acetyl-9-deacetyl-9-benzoyl-10-debenzoyltaxchinin A</t>
  </si>
  <si>
    <t>O[C@H]1[C@@H]([C@]2([C@@H](C([C@H](C[C@@H]2OC(C)=O)O)=C)[C@@H]([C@](C[C@@H]3OC(C)=O)(C1=C3C)C(C)(C)O)OC(C)=O)C)OC(C4=CC=CC=C4)=O</t>
  </si>
  <si>
    <t>Taxamedin A</t>
  </si>
  <si>
    <t>O=C(C)O[C@@H]([C@@H]1OC(C)=O)[C@]2([C@@H](C([C@H](CC2)OC(/C=C/C3=CC=CC=C3)=O)=C)[C@@H]([C@](C[C@@H]4OC(C)=O)(C1=C4C)C(C)(C)O)OC(C)=O)C</t>
  </si>
  <si>
    <t>9-Deacetyl-9-benzoyl-10-debenzoyl-5-cinnamoyltaxchinin A</t>
  </si>
  <si>
    <t>C40H46O11</t>
  </si>
  <si>
    <t>O[C@H]1[C@@H]([C@]2([C@@H](C([C@H](C[C@@H]2OC(C)=O)OC(/C=C/C3=CC=CC=C3)=O)=C)[C@@H]([C@](C[C@@H]4O)(C1=C4C)C(C)(C)O)OC(C)=O)C)OC(C5=CC=CC=C5)=O</t>
  </si>
  <si>
    <r>
      <rPr>
        <sz val="11"/>
        <color theme="1"/>
        <rFont val="Times New Roman"/>
        <charset val="134"/>
      </rPr>
      <t>(-)-2alpha-Acetoxy-2',7-dideacetoxy-1-hydroxy-11(15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1)abeoaustrospicatine</t>
    </r>
  </si>
  <si>
    <t>C[C@@]1([C@H]2OC(C)=O)CC[C@@H](C([C@H]1[C@@H]([C@]3(C([C@H]2OC(C)=O)=C([C@H](C3)OC(C)=O)C)C(C)(C)O)OC(C)=O)=C)OC(CC(N(C)C)C4=CC=CC=C4)=O</t>
  </si>
  <si>
    <t>2-Deacetyl-2alpha-benzoyl-5,13-diacetyltaxchinin A</t>
  </si>
  <si>
    <t>C42H48O13</t>
  </si>
  <si>
    <t>C[C@@]1([C@H]2OC(C)=O)[C@@H](OC(C)=O)C[C@@H](C([C@H]1[C@@H]([C@]3(C([C@H]2OC(C4=CC=CC=C4)=O)=C([C@H](C3)OC(C)=O)C)C(C)(C)O)OC(C5=CC=CC=C5)=O)=C)OC(C)=O</t>
  </si>
  <si>
    <r>
      <rPr>
        <sz val="11"/>
        <color theme="1"/>
        <rFont val="Times New Roman"/>
        <charset val="134"/>
      </rPr>
      <t>2alpha,7beta-Diacetoxy-9alpha-benzoyloxy-4beta20-epoxy11(15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1)abeotax-11-ene-5alpha,10beta,13alpha,15-tetraol</t>
    </r>
  </si>
  <si>
    <t>O[C@H]1[C@@H]([C@]2(C([C@]3(OC3)[C@H](C[C@@H]2OC(C)=O)O)[C@@H]([C@@]4(C[C@H](O)C(C)=C41)C(C)(C)O)OC(C)=O)C)OC(C5=CC=CC=C5)=O</t>
  </si>
  <si>
    <t>Taxuchin A</t>
  </si>
  <si>
    <t>C[C@]1([C@H]2OC(C)=O)C([C@]3(OC3)[C@H](C[C@@H]1OC(C)=O)OC(C)=O)[C@@H]([C@@]4(C[C@H](OC(C)=O)C(C)=C4[C@H]2OC(C)=O)C(C)(C)O)OC(C)=O</t>
  </si>
  <si>
    <r>
      <rPr>
        <sz val="11"/>
        <color theme="1"/>
        <rFont val="Times New Roman"/>
        <charset val="134"/>
      </rPr>
      <t>4alpha,7beta-Diacetoxy-9alpha-benzoyloxy-5beta,20-epoxy-11(15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1)abeotax-11-ene-2alpha,10beta,13alpha,15-tetraol</t>
    </r>
  </si>
  <si>
    <t>C[C@@H]1[C@H](C[C@@]2(C1[C@H]([C@@H]([C@@]3([C@H](C[C@H]4[C@]([C@H]3[C@@H]2O)(CO4)OC(=O)C)OC(=O)C)C)OC(=O)C5=CC=CC=C5)O)C(C)(C)O)O</t>
  </si>
  <si>
    <t>Taxuyunnanine M (taxumairol Q)</t>
  </si>
  <si>
    <t>C24H36O10</t>
  </si>
  <si>
    <t>CC1=C2[C@H]([C@@H]([C@@]3([C@H](C[C@@H]4[C@]([C@H]3[C@@H]([C@@]2(C[C@@H]1O)C(C)(C)O)OC(=O)C)(CO4)OC(=O)C)O)C)O)O</t>
  </si>
  <si>
    <t>7,9-Dideacetyltaxayuntin</t>
  </si>
  <si>
    <t>CC1=C2[C@H]([C@@H]([C@@]3([C@H](C[C@@H]4[C@]([C@H]3[C@@H]([C@]2(C[C@@H]1O)C(C)(C)O)OC(=O)C)(CO4)OC(=O)C)O)C)O)OC(=O)C5=CC=CC=C5</t>
  </si>
  <si>
    <t>Taxumairol K</t>
  </si>
  <si>
    <t>CC1=C2[C@H]([C@@H]([C@@]3([C@H](C[C@@H]4[C@]([C@H]3[C@@H]([C@@]2(C[C@@H]1O)C(C)(C)O)OC(=O)C)(CO4)OC(=O)C)O)C)OC(=O)C5=CC=CC=C5)O</t>
  </si>
  <si>
    <t>Tasumatrol B</t>
  </si>
  <si>
    <t>CC1=C2[C@H]([C@@H]([C@@]3([C@H](C[C@@H]4[C@]([C@H]3[C@@H]([C@@]2(C[C@@H]1O)C(C)(C)O)OC(=O)C)(CO4)OC(=O)C)OC(=O)C)C)O)O</t>
  </si>
  <si>
    <t>Taxumairol W</t>
  </si>
  <si>
    <t>O[C@@H]([C@@H]1OC(C)=O)[C@]2(C([C@@]3(CO[C@@H]3C[C@@H]2OC(C)=O)OC(C)=O)[C@@H]([C@](C[C@@H]4O)(C1=C4C)C(C)(C)O)OC(C)=O)C</t>
  </si>
  <si>
    <t>13-Decinnamoyl-9-deacetyltaxchinin B</t>
  </si>
  <si>
    <t>O[C@@H]([C@@H]1OC(C2=CC=CC=C2)=O)[C@]3(C([C@@]4(CO[C@@H]4C[C@@H]3OC(C)=O)OC(C)=O)[C@@H]([C@](C[C@@H]5O)(C1=C5C)C(C)(C)O)OC(C)=O)C</t>
  </si>
  <si>
    <t>Taxacustin (10,13-deacetylabeobaccatin IV)</t>
  </si>
  <si>
    <t>CC1=C2[C@H]([C@@H]([C@@]3([C@H](C[C@@H]4[C@]([C@H]3[C@@H]([C@]2(C[C@@H]1O)C(C)(C)O)OC(=O)C)(CO4)OC(=O)C)OC(=O)C)C)OC(=O)C)O</t>
  </si>
  <si>
    <t>Taxayuntin F (taxchinin L)</t>
  </si>
  <si>
    <t>CC1=C2[C@H]([C@@H]([C@@]3([C@H](C[C@@H]4[C@]([C@H]3[C@@H]([C@@]2(C[C@@H]1O)C(C)(C)O)OC(=O)C)(CO4)OC(=O)C)OC(=O)C)C)OC(=O)C5=CC=CC=C5)O</t>
  </si>
  <si>
    <t>Taxayuntin H</t>
  </si>
  <si>
    <t>CC1=C2[C@H]([C@@H]([C@@]3([C@H](C[C@@H]4[C@]([C@H]3[C@@H]([C@@]2(CC1O)C(C)(C)O)OC(=O)C)(CO4)OC(=O)C)OC(=O)C)C)OC(=O)C)OC(=O)C</t>
  </si>
  <si>
    <t>13-Deacetylbaccatin VI (taxayuntin;taxayunnansin A)</t>
  </si>
  <si>
    <t>C[C@]1([C@H]([C@@H]2OC(C3=CC=CC=C3)=O)OC(C)=O)C([C@@]4(CO[C@@H]4C[C@@H]1OC(C)=O)OC(C)=O)[C@@H]([C@](C[C@@H]5O)(C2=C5C)C(C)(C)O)OC(C)=O</t>
  </si>
  <si>
    <t>Taxuspine Q</t>
  </si>
  <si>
    <t>C33H46O13</t>
  </si>
  <si>
    <t>O(C(C)=O)[C@]12[C@]3([C@H](OC(C)=O)[C@@]4(C(C)(C)O)C([C@@H](OC(/C(=C/C)/C)=O)[C@H](OC(C)=O)[C@]3(C)[C@@H](OC(C)=O)C[C@]1(OC2)[H])=C(C)[C@@H](O)C4)[H]</t>
  </si>
  <si>
    <r>
      <rPr>
        <sz val="11"/>
        <color theme="1"/>
        <rFont val="Times New Roman"/>
        <charset val="134"/>
      </rPr>
      <t>4-Deacetyl-11(15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1)abeobaccatin VI</t>
    </r>
  </si>
  <si>
    <t>C[C@]1([C@H]([C@@H]2OC(C)=O)OC(C)=O)C([C@@]3(CO[C@@H]3C[C@@H]1OC(C)=O)O)[C@@H]([C@](C[C@@H]4OC(C)=O)(C2=C4C)C(C)(C)O)OC(C5=CC=CC=C5)=O</t>
  </si>
  <si>
    <t>7,13-Dideacetyl-9,10-debenzoyltaxchinin C</t>
  </si>
  <si>
    <t>C29H38O10</t>
  </si>
  <si>
    <t>O[C@H]1[C@@H]([C@]2(C([C@@]3(CO[C@@H]3C[C@@H]2O)OC(C)=O)[C@@H]([C@](C[C@@H]4O)(C1=C4C)C(C)(C)O)OC(C5=CC=CC=C5)=O)C)O</t>
  </si>
  <si>
    <t>Taxumairol Z</t>
  </si>
  <si>
    <t>CC1=C2[C@H]([C@@H]([C@@]3([C@H](C[C@@H]4[C@]([C@H]3[C@@H]([C@@]2(C[C@@H]1OC(=O)C)C(C)(C)O)OC(=O)C5=CC=CC=C5)(CO4)OC(=O)C)O)COC(=O)C)O)O</t>
  </si>
  <si>
    <t>Tasumatrol O</t>
  </si>
  <si>
    <t>CC1=C2[C@H](C(=O)[C@@]3([C@H](C[C@@H]4[C@]([C@H]3[C@@H]([C@@]2(C[C@@H]1O)C(C)(C)O)OC(=O)C5=CC=CC=C5)(CO4)OC(=O)C)O)CO)OC(=O)C</t>
  </si>
  <si>
    <r>
      <rPr>
        <sz val="11"/>
        <color theme="1"/>
        <rFont val="Times New Roman"/>
        <charset val="134"/>
      </rPr>
      <t>Taxuspinanane F (9-deacetyltaxayuntin E)(4alpha,7beta-diacetoxy-2alpha-benzoyloxy-5beta,20-epoxy-1beta,9alpha,10beta,13alpha,15-pentahydroxy-11(15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1)abeotax-11-ene)</t>
    </r>
  </si>
  <si>
    <t>CC1=C2[C@H]([C@@H]([C@@]3([C@H](C[C@@H]4[C@]([C@H]3[C@@H]([C@@]2(C[C@@H]1O)C(C)(C)O)OC(=O)C5=CC=CC=C5)(CO4)OC(=O)C)OC(=O)C)C)O)O</t>
  </si>
  <si>
    <t>Taxayuntin E</t>
  </si>
  <si>
    <t>CC1=C2C([C@@H](OC(C3=CC=CC=C3)=O)[C@@]([C@@](CO4)(OC(C)=O)[C@H]4C[C@@H]5OC(C)=O)([H])[C@]5(C[H])[C@@H](OC(C)=O)[C@@H]2O)[C@@H](C(O)(C)C)[C@@H]1O</t>
  </si>
  <si>
    <t>Taxayuntin A</t>
  </si>
  <si>
    <t>C36H42O11</t>
  </si>
  <si>
    <t>O=C(OC1CC2OCC2(OC(=O)C)C3C(OC(=O)C=4C=CC=CC4)C5(C(=C(C)C(O)C5)C(O)C(O)C13C)C(O)(C)C)C=6C=CC=CC6</t>
  </si>
  <si>
    <t>15-O-Benzoyl-10-deacetyl-2-debenzoyl-10-dehydro-abeobaccatin III</t>
  </si>
  <si>
    <t>O=C1C([C@]2(C([C@@]3(CO[C@@H]3C[C@@H]2O)OC(C)=O)[C@@H]([C@](C[C@@H]4O)(C1=C4C)C(C)(C)OC(C5=CC=CC=C5)=O)O)C)=O</t>
  </si>
  <si>
    <t>Taxuyunnanine F</t>
  </si>
  <si>
    <t>CC1=C2[C@H]([C@@H]([C@@]3([C@H](C[C@@H]4[C@]([C@H]3[C@@H]([C@@]2(C[C@@H]1OC(=O)C)C(C)(C)O)OC(=O)C)(CO4)OC(=O)C)OC(=O)C)C)OC(=O)C)O</t>
  </si>
  <si>
    <t>Taxchinin M</t>
  </si>
  <si>
    <t>CC1=C2[C@H]([C@@H]([C@@]3([C@H](C[C@@H]4[C@]([C@H]3[C@@H]([C@@]2(C[C@@H]1OC(=O)C)C(C)(C)O)OC(=O)C)(CO4)OC(=O)C)OC(=O)C)C)OC(=O)C5=CC=CC=C5)O</t>
  </si>
  <si>
    <t>Taxchinin J</t>
  </si>
  <si>
    <t>O[C@H]1[C@@H]([C@]2(C([C@@]3(CO[C@@H]3C[C@@H]2OC(C)=O)OC(C)=O)[C@@H]([C@](C[C@@H]4OC(/C=C/C5=CC=CC=C5)=O)(C1=C4C)C(C)(C)O)OC(C)=O)C)OC(C6=CC=CC=C6)=O</t>
  </si>
  <si>
    <t>13-Acetyl-13-decinnamoyltaxchinin B</t>
  </si>
  <si>
    <t>CC1=C2[C@H]([C@@H]([C@@]3([C@H](C[C@@H]4[C@]([C@H]3[C@@H]([C@@]2(C[C@@H]1OC(=O)C)C(C)(C)O)OC(=O)C)(CO4)OC(=O)C)OC(=O)C)C)OC(=O)C)OC(=O)C5=CC=CC=C5</t>
  </si>
  <si>
    <t>Taxchinin B</t>
  </si>
  <si>
    <t>C44H50O14</t>
  </si>
  <si>
    <t>CC1=C2[C@H]([C@@H]([C@@]3([C@H](C[C@@H]4[C@]([C@H]3[C@@H]([C@@]2(C[C@@H]1OC(=O)/C=C/C5=CC=CC=C5)C(C)(C)O)OC(=O)C)(CO4)OC(=O)C)OC(=O)C)C)OC(=O)C)OC(=O)C6=CC=CC=C6</t>
  </si>
  <si>
    <t>Taxchinin K</t>
  </si>
  <si>
    <t>O=C(O[C@H]1[C@@H]([C@]2([C@@H]([C@@]3(CO[C@@H]3C[C@@H]2OC(C)=O)OC(C)=O)[C@@H]([C@](C[C@@H]4OC(C)=O)(C1=C4C)C(C)(C)O)OC(C)=O)C)OC(C5=CC=CC=C5)=O)C6=CC=CC=C6</t>
  </si>
  <si>
    <r>
      <rPr>
        <sz val="11"/>
        <color theme="1"/>
        <rFont val="Times New Roman"/>
        <charset val="134"/>
      </rPr>
      <t>Taxayuntin B (2alpha-debenzoyl-2alpha-acetyltaxayuntin A)(2alpha,4alpha-diacetoxy-7beta-benzoyloxy-5beta,20-epoxy-1beta,9alpha,10beta,13alpha,15-pentahydroxy-11(15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1)abeotax-11-ene)</t>
    </r>
  </si>
  <si>
    <t>CC1=C2[C@@]([C@@H](OC(C)=O)[C@@]([C@@](CO3)(OC(C)=O)[C@H]3C[C@@H]4OC(C5=CC=CC=C5)=O)([H])[C@]4(C[H])[C@@H](O)[C@@H]2O)(C(C)(C)O)C[C@@H]1O</t>
  </si>
  <si>
    <t>7,9,10-Trideacetylabeobaccatin VI</t>
  </si>
  <si>
    <t>C31H42O11</t>
  </si>
  <si>
    <t>C[C@@H]1[C@H](C[C@@]2(C1[C@H]([C@@H]([C@@]3([C@H](C[C@@H]4[C@]([C@H]3[C@@H]2OC(=O)C5=CC=CC=C5)(CO4)OC(=O)C)O)C)O)O)C(C)(C)O)OC(=O)C</t>
  </si>
  <si>
    <t>mass590.2727</t>
  </si>
  <si>
    <t>7-deacetyltaxayuntin D</t>
  </si>
  <si>
    <t>C45H48O13</t>
  </si>
  <si>
    <t>O=C(O[C@H]1[C@@H]([C@]2([C@@H]([C@@]3(CO[C@@H]3C[C@@H]2O)OC(C)=O)[C@@H]([C@](C[C@@H]4OC(C)=O)(C1=C4C)C(C)(C)O)OC(C5=CC=CC=C5)=O)C)OC(C6=CC=CC=C6)=O)C7=CC=CC=C7</t>
  </si>
  <si>
    <t>Taxayuntin C</t>
  </si>
  <si>
    <t>CC1=C2[C@H]([C@@H]([C@@]3([C@H](C[C@@H]4[C@]([C@H]3[C@@H]([C@@]2(C[C@@H]1OC(=O)C)C(C)(C)O)OC(=O)C5=CC=CC=C5)(CO4)OC(=O)C)OC(=O)C)C)OC(=O)C)OC(=O)C6=CC=CC=C6</t>
  </si>
  <si>
    <r>
      <rPr>
        <sz val="11"/>
        <color theme="1"/>
        <rFont val="Times New Roman"/>
        <charset val="134"/>
      </rPr>
      <t>4alpha,7beta-Diacetoxy-2alpha,9alpha-dibenzoyloxy-5beta,20-epoxy-11(15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1)abeotax-11-ene-1beta,10beta,13alpha,15-tetraol</t>
    </r>
  </si>
  <si>
    <t>C38H44O12</t>
  </si>
  <si>
    <t>O[C@H]1[C@@H]([C@]2([C@@H]([C@@]3(CO[C@@H]3C[C@@H]2OC(C)=O)OC(C)=O)[C@@H]([C@](C[C@@H]4O)(C1=C4C)C(C)(C)O)OC(C5=CC=CC=C5)=O)C)OC(C6=CC=CC=C6)=O</t>
  </si>
  <si>
    <t>Taxchinin I</t>
  </si>
  <si>
    <t>C40H46O13</t>
  </si>
  <si>
    <t>CC1=C2[C@@]([C@@H](OC(C3=CC=CC=C3)=O)[C@@]([C@@](CO4)(OC(C)=O)[C@H]4C[C@@H]5OC(C)=O)([H])[C@]5(C[H])[C@@H](OC(C6=CC=CC=C6)=O)[C@@H]2O)(C(C)(C)O)C[C@@H]1OC(C)=O</t>
  </si>
  <si>
    <t>Taxayuntin D (taxchinin C; 9-deacetyl-9-benzoyl-taxayuntin C)</t>
  </si>
  <si>
    <t>O=C(O[C@H]1[C@@H]([C@]2([C@@H]([C@@]3(CO[C@@H]3C[C@@H]2OC(C)=O)OC(C)=O)[C@@H]([C@](C[C@@H]4OC(C)=O)(C1=C4C)C(C)(C)O)OC(C5=CC=CC=C5)=O)C)OC(C6=CC=CC=C6)=O)C7=CC=CC=C7</t>
  </si>
  <si>
    <t>2,7-Dideacetyl-2,7-dibenzoyltaxayunnanine F</t>
  </si>
  <si>
    <t>O[C@H]1[C@@H]([C@]2([C@@H]([C@@]3(CO[C@@H]3C[C@@H]2OC(C4=CC=CC=C4)=O)OC(C)=O)[C@@H]([C@](C[C@@H]5OC(C)=O)(C1=C5C)C(C)(C)O)OC(C6=CC=CC=C6)=O)C)OC(C)=O</t>
  </si>
  <si>
    <r>
      <rPr>
        <sz val="11"/>
        <color theme="1"/>
        <rFont val="Times New Roman"/>
        <charset val="134"/>
      </rPr>
      <t>4alpha,9alpha,10beta,13alpha-Tetraacetoxy-2alpha,7beta-dibenzoyloxy-5beta,20-epoxy-11(15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1)abeotax-11-en-1beta-ol</t>
    </r>
  </si>
  <si>
    <t>O=C(C)O[C@@H]([C@@H]1OC(C)=O)[C@]2([C@@H]([C@@]3(CO[C@@H]3C[C@@H]2OC(C4=CC=CC=C4)=O)OC(C)=O)[C@@H]([C@](C[C@@H]5OC(C)=O)(C1=C5C)C(C)(C)O)OC(C6=CC=CC=C6)=O)C</t>
  </si>
  <si>
    <t>7-Deacetyl-7-benzoyltaxayuntin C</t>
  </si>
  <si>
    <t>O=C(C)O[C@@H]([C@@H]1OC(C2=CC=CC=C2)=O)[C@]3([C@@H]([C@@]4(CO[C@@H]4C[C@@H]3OC(C5=CC=CC=C5)=O)OC(C)=O)[C@@H]([C@](C[C@@H]6OC(C)=O)(C1=C6C)C(C)(C)O)OC(C7=CC=CC=C7)=O)C</t>
  </si>
  <si>
    <t>7-Deacetyl-7-benzoyltaxchinin I</t>
  </si>
  <si>
    <t>O[C@H]1[C@@H]([C@]2([C@@H]([C@@]3(CO[C@@H]3C[C@@H]2OC(C4=CC=CC=C4)=O)OC(C)=O)[C@@H]([C@](C[C@@H]5OC(C)=O)(C1=C5C)C(C)(C)O)OC(C6=CC=CC=C6)=O)C)OC(C7=CC=CC=C7)=O</t>
  </si>
  <si>
    <t>7,9-Di-O-acetyl-15-O-benzoyl-2-de-O-benzoyl-abeobaccatin VI</t>
  </si>
  <si>
    <t>O[C@@H]([C@@H]1OC(C)=O)[C@]2([C@@H]([C@@]3(CO[C@@H]3C[C@@H]2O)OC(C)=O)[C@@H]([C@](C[C@@H]4OC(C)=O)(C1=C4C)C(C)(C)OC(C5=CC=CC=C5)=O)O)C</t>
  </si>
  <si>
    <r>
      <rPr>
        <sz val="11"/>
        <color theme="1"/>
        <rFont val="Times New Roman"/>
        <charset val="134"/>
      </rPr>
      <t>10,15-Epoxy-11(15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1)abeo-10-deacetylbaccatin III</t>
    </r>
  </si>
  <si>
    <t>C29H34O9</t>
  </si>
  <si>
    <t>CC([C@@H](O)C1)=C([C@]1(C2(C)C)[C@@H](OC(C3=CC=CC=C3)=O)C4[C@@]5(C)[C@@H](O)C[C@@H]6[C@@]4(OC(C)=O)CO6)[C@@H](O2)C5=O</t>
  </si>
  <si>
    <r>
      <rPr>
        <sz val="11"/>
        <color theme="1"/>
        <rFont val="Times New Roman"/>
        <charset val="134"/>
      </rPr>
      <t>13-Deacetoxy-13,15-epoxy-11(15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1)abeo-13-epi-baccatin VI</t>
    </r>
  </si>
  <si>
    <t>C35H42O12</t>
  </si>
  <si>
    <t>O=C(C)O[C@H]1[C@@H]([C@]2([C@@H]([C@@]3(COC3C[C@@H]2OC(C)=O)OC(C)=O)[C@@H]([C@@]45C(C)(O[C@H](C5)C(C)=C41)C)OC(C6=CC=CC=C6)=O)C)OC(C)=O</t>
  </si>
  <si>
    <t>13,15-Epoxy-13-epi-taxayunnasin A</t>
  </si>
  <si>
    <t>CC1=C2[C@H]([C@@H]([C@@]3([C@H](CC4[C@]([C@H]3[C@@H]([C@]25C[C@H]1OC5(C)C)OC(=O)C)(CO4)OC(=O)C)OC(=O)C)C)OC(=O)C)OC(=O)C6=CC=CC=C6</t>
  </si>
  <si>
    <t>Taxuyunnanine P</t>
  </si>
  <si>
    <t>C24H38O10</t>
  </si>
  <si>
    <t>CC1=C2[C@H]([C@@H]([C@@]3([C@H](C[C@@H]([C@H]([C@H]3[C@@H]([C@@]2(C[C@@H]1O)C(C)(C)O)O)CO)O)OC(=O)C)C)OC(=O)C)O</t>
  </si>
  <si>
    <t>Taxuyunnanine Q</t>
  </si>
  <si>
    <t>C26H40O11</t>
  </si>
  <si>
    <t>CC1=C2[C@H]([C@@H]([C@@]3([C@H](C[C@@H]([C@H]([C@H]3[C@@H]([C@@]2(CC1O)C(C)(C)O)O)CO)O)OC(=O)C)C)OC(=O)C)OC(=O)C</t>
  </si>
  <si>
    <t>Taxuyunnanine N</t>
  </si>
  <si>
    <t>CC1=C2[C@H]([C@@H]([C@@]3([C@H](C[C@@H]([C@H]([C@H]3[C@@H]([C@@]2(C[C@@H]1O)C(C)(C)O)O)CO)OC(=O)C)OC(=O)C)C)OC(=O)C)O</t>
  </si>
  <si>
    <t>Taxumairol V</t>
  </si>
  <si>
    <t>CC1=C2[C@H]([C@@H]([C@@]3([C@H](C[C@@H]([C@H]([C@H]3[C@@H]([C@@]2(C[C@@H]1O)C(C)(C)O)O)COC(=O)C)OC(=O)C)OC(=O)C)C)OC(=O)C)O</t>
  </si>
  <si>
    <t>Taxuyunnanine V</t>
  </si>
  <si>
    <t>O[C@H]1[C@@H]([C@]2(C([C@@H]([C@H](C[C@@H]2OC(C)=O)OC(C)=O)CO)[C@@H]([C@](C[C@@H]3OC(C)=O)(C1=C3C)C(C)(C)O)O)C)OC(C)=O</t>
  </si>
  <si>
    <t>Taxumairol U</t>
  </si>
  <si>
    <t>C30H44O13</t>
  </si>
  <si>
    <t>CC1=C2[C@H]([C@@H]([C@@]3([C@H](C[C@@H]([C@H]([C@H]3[C@@H]([C@@]2(C[C@@H]1OC(=O)C)C(C)(C)O)O)COC(=O)C)OC(=O)C)OC(=O)C)C)OC(=O)C)O</t>
  </si>
  <si>
    <t>Taxuyunnanine O</t>
  </si>
  <si>
    <t>CC1=C2[C@H]([C@@H]([C@@]3([C@H](C[C@@H]([C@H]([C@H]3[C@@H]([C@@]2(C[C@@H]1O)C(C)(C)O)O)CO)OC(=O)C)OC(=O)C)C)OC(=O)C)OC(=O)C</t>
  </si>
  <si>
    <t>Taxayuntin J</t>
  </si>
  <si>
    <t>CC1=C2C([C@@H](O)[C@@]([C@]([H])(COC(C)=O)[C@@H](OC(C)=O)C[C@@H]3OC(C)=O)([H])[C@]3(C)[C@@H](OC(C)=O)[C@@H]2OC(C)=O)[C@@H](C(O)(C)C)[C@@H]1O</t>
  </si>
  <si>
    <t>Tasumatrol F</t>
  </si>
  <si>
    <t>C33H44O12</t>
  </si>
  <si>
    <t>CC1=C2[C@H]([C@@H]([C@@]3([C@H](C[C@@H]([C@H]([C@H]3[C@@H]([C@@]2(C[C@@H]1O)C(C)(C)O)O)COC(=O)C)OC(=O)C)OC(=O)C)C)OC(=O)C4=CC=CC=C4)O</t>
  </si>
  <si>
    <t>Taxayuntin G</t>
  </si>
  <si>
    <t>CC1=C2[C@H]([C@@H]([C@@]3([C@H](C[C@@H]([C@H]([C@H]3[C@@H]([C@@]2(C[C@@H]1O)C(C)(C)O)OC(=O)C)CO)OC(=O)C)OC(=O)C)C)OC(=O)C)O</t>
  </si>
  <si>
    <t>Taxumain A</t>
  </si>
  <si>
    <t>CC1=C2[C@H]([C@@H]([C@@]3([C@H](C[C@@H]([C@H]([C@H]3[C@@H]([C@@]2(C[C@@H]1O)C(C)(C)O)OC(=O)C)COC(=O)C)OC(=O)C)OC(=O)C)C)OC(=O)C)O</t>
  </si>
  <si>
    <t>Taxumain B</t>
  </si>
  <si>
    <t>CC1=C2[C@H]([C@@H]([C@@]3([C@H](C[C@@H]([C@H]([C@H]3[C@@H]([C@@]2(C[C@@H]1OC(=O)C)C(C)(C)O)OC(=O)C)COC(=O)C)OC(=O)C)OC(=O)C)C)OC(=O)C)O</t>
  </si>
  <si>
    <t>Taxuyunnanine S</t>
  </si>
  <si>
    <t>C20H34O9</t>
  </si>
  <si>
    <t>O[C@H]1[C@@H]([C@]2([C@@H]([C@](CO)([C@H](C[C@@H]2O)O)O)[C@@H]([C@](C[C@@H]3O)(C1=C3C)C(C)(C)O)O)C)O</t>
  </si>
  <si>
    <t>Taxuyunnanine R</t>
  </si>
  <si>
    <t>O[C@@H]1C(C)=C2[C@@H](O)[C@H](O)[C@@]([C@@H](O)C[C@H](O)[C@]3(COC(C4=CC=CC=C4)=O)O)(C)[C@]3([H])[C@H](O)[C@]2(C(C)(O)C)C1</t>
  </si>
  <si>
    <t>Taxuyunnanine T</t>
  </si>
  <si>
    <t>C24H38O11</t>
  </si>
  <si>
    <t>O[C@H]1[C@@H]([C@]2([C@@H]([C@](COC(C)=O)([C@H](C[C@@H]2O)OC(C)=O)O)[C@@H]([C@](C[C@@H]3O)(C1=C3C)C(C)(C)O)O)C)O</t>
  </si>
  <si>
    <t>Taxuyunnanine K</t>
  </si>
  <si>
    <t>C29H40O11</t>
  </si>
  <si>
    <t>CC1=C2[C@H]([C@@H]([C@@]3([C@H](C[C@@H]([C@]([C@H]3[C@@H]([C@@]2(C[C@@H]1O)C(C)(C)O)O)(COC(=O)C4=CC=CC=C4)O)OC(=O)C)O)C)O)O</t>
  </si>
  <si>
    <t>Taxuyunnanine U</t>
  </si>
  <si>
    <t>O[C@@H]([C@@H]1OC(C2=CC=CC=C2)=O)[C@]3([C@@H]([C@](COC(C)=O)([C@H](C[C@@H]3O)OC(C)=O)O)[C@@H]([C@](C[C@@H]4O)(C1=C4C)C(C)(C)O)O)C</t>
  </si>
  <si>
    <t>Yunantaxusin A</t>
  </si>
  <si>
    <t>C35H46O14</t>
  </si>
  <si>
    <t>CC1=C2[C@H]([C@@H]([C@@]3([C@H](C[C@@H]([C@]([C@H]3[C@@H]([C@@]2(C[C@@H]1O)C(C)(C)O)O)(COC(=O)C)O)OC(=O)C)OC(=O)C)C)OC(=O)C)OC(=O)C4=CC=CC=C4</t>
  </si>
  <si>
    <t>Tasumatrol E</t>
  </si>
  <si>
    <t>C33H44O13</t>
  </si>
  <si>
    <t>CC1=C2[C@H]([C@@H]([C@@]3([C@H](C[C@@H]([C@]([C@H]3[C@@H]([C@@]2(C[C@@H]1O)C(C)(C)O)O)(COC(=O)C)O)OC(=O)C)OC(=O)C)C)OC(=O)C4=CC=CC=C4)O</t>
  </si>
  <si>
    <t>Taxuchin B</t>
  </si>
  <si>
    <t>C31H41O11Cl</t>
  </si>
  <si>
    <t>CC1=C2[C@H]([C@@H]([C@@]3([C@H](C[C@@H]([C@]([C@H]3[C@@H]([C@@]2(C[C@@H]1O)C(C)(C)O)OC(=O)C)(CCl)O)O)OC(=O)C)C)OC(=O)C4=CC=CC=C4)O</t>
  </si>
  <si>
    <t>mass624.2337</t>
  </si>
  <si>
    <t>Taxuyunnanine L</t>
  </si>
  <si>
    <t>CC1=C2[C@H]([C@@H]([C@@]3([C@H](C[C@@H]([C@]([C@H]3[C@@H]([C@@]2(C[C@@H]1O)C(C)(C)O)OC(=O)C4=CC=CC=C4)(COC(=O)C)O)O)O)C)O)O</t>
  </si>
  <si>
    <t>Taxuyunnanine X</t>
  </si>
  <si>
    <t>CC1=C2[C@H]([C@@H]([C@@]3([C@H](C[C@@H]([C@@]45[C@H]3[C@@H]([C@@]2(C[C@@H]1O)C(C)(C)O)OC(O4)(OC5)C)O)OC(=O)C)C)OC(=O)C6=CC=CC=C6)O</t>
  </si>
  <si>
    <t>Taxuyunnanine W</t>
  </si>
  <si>
    <t>CC1=C2[C@H]([C@@H]([C@@]3([C@H](C[C@@H]([C@@]45[C@H]3[C@@H]([C@@]2(C[C@@H]1O)C(C)(C)O)OC(O4)(OC5)C)OC(=O)C)OC(=O)C)C)OC(=O)C6=CC=CC=C6)O</t>
  </si>
  <si>
    <t>5-O-Acetyl-20-O-deacetyl-4,20-(p-hydroxyl-benzylidenedioxy)-taxuyunnanine L</t>
  </si>
  <si>
    <t>C36H44O12</t>
  </si>
  <si>
    <t>O[C@H]1[C@@H]([C@]2([C@@H]([C@@](O3)([C@H](C[C@@H]2O)OC(C)=O)CO[C@@H]3C4=CC=C(O)C=C4)[C@@H]([C@](C[C@@H]5O)(C1=C5C)C(C)(C)O)OC(C6=CC=CC=C6)=O)C)O</t>
  </si>
  <si>
    <t>Taxumairol X</t>
  </si>
  <si>
    <t>CC1=C2[C@H]([C@@H]([C@@]3([C@H](C[C@@H]([C@@]4([C@H]3[C@@H]([C@@]2(C[C@@H]1O)C(C)(C)O)OC4)O)O)OC(=O)C)C)OC(=O)C)O</t>
  </si>
  <si>
    <t>Taxumairol Y</t>
  </si>
  <si>
    <t>CC1=C2[C@H]([C@@H]([C@@]3([C@H](C[C@@H]([C@@]4([C@H]3[C@@H]([C@@]2(C[C@@H]1OC(=O)C)C(C)(C)O)OC4)O)O)OC(=O)C)C)OC(=O)C)O</t>
  </si>
  <si>
    <t>Taxumairol H</t>
  </si>
  <si>
    <t>CC1=C(C[C@@]2(C1[C@H]([C@@H]([C@@]3([C@H](C[C@@H]([C@@]4([C@H]3[C@@H]2OC4)O)O)OC(=O)C)C)OC(=O)C)OC(=O)C)C(C)(C)OC(=O)C5=CC=CC=C5)O</t>
  </si>
  <si>
    <t>10-O-Benzoyl-15-O-acetyltaxumairol X</t>
  </si>
  <si>
    <t>CC1=C2[C@H]([C@@H]([C@@]3([C@H](C[C@@H]([C@@]4([C@H]3[C@@H]([C@@]2(C[C@@H]1O)C(C)(C)OC(=O)C)OC4)O)O)OC(=O)C)C)OC(=O)C)OC(=O)C5=CC=CC=C5</t>
  </si>
  <si>
    <t>Taxuyunnanine Y</t>
  </si>
  <si>
    <t>CC1=C2[C@H]([C@@H]([C@@]3([C@H](C[C@@H]([C@@]4([C@H]3[C@@H]([C@@]2(C[C@@H]1O)C(C)(C)O)OC4)O)O)OC(=O)C)C)OC(=O)C5=CC=CC=C5)O</t>
  </si>
  <si>
    <r>
      <rPr>
        <sz val="11"/>
        <color theme="1"/>
        <rFont val="Times New Roman"/>
        <charset val="134"/>
      </rPr>
      <t>4alpha,10beta,13alpha-Triacetoxy-15-benzoyloxy-2alpha,20beta-epoxy-11(15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1)abeotax-11-ene-5alpha,7beta,9alpha-triol</t>
    </r>
  </si>
  <si>
    <t>CC(OC1=C(C)C2[C@H]([C@@H]([C@]3([C@@H]4[C@@H]([C@@]2(C1)C(C)(C)OC(C5=CC=CC=C5)=O)OC[C@@]4([C@H](C[C@@H]3O)O)OC(C)=O)C)O)OC(C)=O)=O</t>
  </si>
  <si>
    <t>Taxumairol G</t>
  </si>
  <si>
    <t>CC1=C(C[C@@]2(C1[C@H]([C@@H]([C@@]3([C@H](C[C@@H]([C@@]4([C@H]3[C@@H]2OC4)OC(=O)C)O)OC(=O)C)C)OC(=O)C)OC(=O)C)C(C)(C)OC(=O)C5=CC=CC=C5)OC(=O)C</t>
  </si>
  <si>
    <r>
      <rPr>
        <sz val="11"/>
        <color theme="1"/>
        <rFont val="Times New Roman"/>
        <charset val="134"/>
      </rPr>
      <t>4alpha,7beta,9alpha,10beta,15-Pentaacetoxy-2alpha,20beta-epoxy-11(15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1)abeotax-11-ene-5alpha,13alpha-diol</t>
    </r>
  </si>
  <si>
    <t>OC1=C(C)C2[C@H]([C@@H]([C@]3([C@@H]4[C@@H]([C@@]2(C1)C(C)(C)OC(C)=O)OC[C@@]4([C@H](C[C@@H]3OC(C)=O)O)OC(C)=O)C)OC(C)=O)OC(C)=O</t>
  </si>
  <si>
    <t>Taxuyunnanine E</t>
  </si>
  <si>
    <t>CC1=C2[C@H]([C@H]([C@@]3([C@H](C[C@@H]([C@@]4([C@H]3[C@@H]([C@@]2(C[C@@H]1OC(=O)C)C(C)(C)O)OC4)OC(=O)C)O)OC(=O)C)C)OC(=O)C5=CC=CC=C5)O</t>
  </si>
  <si>
    <t>Tasumatrol G</t>
  </si>
  <si>
    <t>CC1=C2[C@H]([C@@H]([C@@]3([C@H](C[C@@H]([C@@]4([C@H]3[C@@H]([C@@]2(C[C@@H]1O)C(C)(C)O)OC4)OC(=O)C5=CC=CC=C5)OC(=O)C)OC(=O)C)C)OC(=O)C)O</t>
  </si>
  <si>
    <t>Taxumairol J</t>
  </si>
  <si>
    <t>CC1=C(C[C@]2(C1[C@H]([C@@H]([C@@]3([C@H](C[C@@H]([C@@]4([C@H]3[C@@H]2OC4)O)O)OC(=O)C)C)OC(=O)C)OC(=O)C)C(=C)C)O</t>
  </si>
  <si>
    <t>Taxumairol I</t>
  </si>
  <si>
    <t>C28H38O11</t>
  </si>
  <si>
    <t>CC1=C(C[C@]2(C1[C@H]([C@@H]([C@@]3([C@H](C[C@@H]([C@@]4([C@H]3[C@@H]2OC4)O)O)OC(=O)C)C)OC(=O)C)OC(=O)C)C(=C)C)OC(=O)C</t>
  </si>
  <si>
    <r>
      <rPr>
        <sz val="11"/>
        <color theme="1"/>
        <rFont val="Times New Roman"/>
        <charset val="134"/>
      </rPr>
      <t>4alpha,13alpha-Diacetoxy-2alpha,20-epoxy-11(15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1)abeotaxa-11,15-diene-5alpha,7beta,9alpha,10beta-tetraol</t>
    </r>
  </si>
  <si>
    <t>C24H34O9</t>
  </si>
  <si>
    <t>CC(OC1=C(C)C2[C@H]([C@@H]([C@]3([C@@H]4[C@@H]([C@]2(C1)C(C)=C)OC[C@@]4([C@H](C[C@@H]3O)O)OC(C)=O)C)O)O)=O</t>
  </si>
  <si>
    <t>Tasumatrol T</t>
  </si>
  <si>
    <t>C27H34O9</t>
  </si>
  <si>
    <t>CC1=C2[C@]3(CC4[C@]([C@]2(C(=O)OC3(C)C)O)([C@H](C[C@@H]([C@]4(COC(=O)C5=CC=CC=C5)O)O)O)C)[C@@H](C1)O</t>
  </si>
  <si>
    <t>Tasumatrol P</t>
  </si>
  <si>
    <t>CC1=C2[C@]3(CC4[C@]([C@]2(C(=O)OC3(C)C)O)([C@H](C[C@@H]([C@]4(COC(=O)C5=CC=CC=C5)O)OC(=O)C)O)C)[C@@H](C1)O</t>
  </si>
  <si>
    <t>Tasumatrol R </t>
  </si>
  <si>
    <t>CC1=C2[C@]3(CC1)[C@H](C4[C@]([C@]2(C(=O)OC3(C)C)O)([C@H](C[C@@H]([C@]4(CO)O)O)O)C)OC(=O)C5=CC=CC=C5</t>
  </si>
  <si>
    <t>Tasumatrol I</t>
  </si>
  <si>
    <t>CC1=C2[C@]3(CC1)[C@H]([C@H]4[C@]([C@@]2(C(=O)OC3(C)C)O)([C@H](C[C@@H]([C@]4(COC(=O)C)O)O)O)C)OC(=O)C5=CC=CC=C5</t>
  </si>
  <si>
    <r>
      <rPr>
        <sz val="11"/>
        <color theme="1"/>
        <rFont val="Times New Roman"/>
        <charset val="134"/>
      </rPr>
      <t>20-Acetoxy-2alpha-benzoyloxy-4alpha,5alpha,7beta,9alpha,13alpha-pentahydroxy-11(15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1),11(10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9)bisabeotax-11-ene-10,15-lactone</t>
    </r>
  </si>
  <si>
    <t>CC1=C2[C@@]3([C@@H](OC(C4=CC=CC=C4)=O)[C@H]5[C@]([C@@H](O)C[C@H](O)[C@@]5(O)COC(C)=O)(C)[C@]2(O)C(OC3(C)C)=O)C[C@@H]1O</t>
  </si>
  <si>
    <t>Tasumatrol H</t>
  </si>
  <si>
    <t>CC1=C2[C@]3(C[C@@H]1O)[C@H]([C@H]4[C@]([C@@]2(C(=O)OC3(C)C)O)([C@H](C[C@@H]([C@]4(CO)O)OC(=O)C)O)C)OC(=O)C5=CC=CC=C5</t>
  </si>
  <si>
    <t>Tasumatrol J</t>
  </si>
  <si>
    <t>C29H34O9 </t>
  </si>
  <si>
    <t>CC1=C2[C@]3(CC1)[C@H]([C@H]4[C@]([C@@]2(C(=O)OC3(C)C)O)([C@H](C[C@@H]5[C@]4(CO5)OC(=O)C)O)C)OC(=O)C6=CC=CC=C6</t>
  </si>
  <si>
    <t>Wallifoliol</t>
  </si>
  <si>
    <t>CC1=C2[C@@]3([C@@H](OC(C4=CC=CC=C4)=O)[C@H]5[C@]([C@@H](O)C[C@@H]6[C@@]5(OC(C)=O)CO6)(C)[C@]2(O)C(OC3(C)C)=O)C[C@@H]1O</t>
  </si>
  <si>
    <t>13-O-Acetylwallifoliol </t>
  </si>
  <si>
    <t>CC1=C2[C@@]3(C[C@@H]1OC(=O)C)[C@H]([C@H]4[C@]([C@]2(C(=O)OC3(C)C)O)([C@H](C[C@@H]5[C@]4(CO5)OC(=O)C)O)C)OC(=O)C6=CC=CC=C6</t>
  </si>
  <si>
    <t>13-oxo-Wollifoliane-10,15-olid</t>
  </si>
  <si>
    <t> C29H32O10</t>
  </si>
  <si>
    <t>CC1=C2[C@@]3([C@@H](OC(C4=CC=CC=C4)=O)[C@H]5[C@]([C@@H](O)C[C@@H]6[C@@]5(OC(C)=O)CO6)(C)[C@]2(O)C(OC3(C)C)=O)CC1=O</t>
  </si>
  <si>
    <t>Tasumatrol Q</t>
  </si>
  <si>
    <t>C32H40O11</t>
  </si>
  <si>
    <t>CC1=C2[C@]3(C[C@@H]1O)[C@H](C4[C@]([C@]2(C(=O)OC3(C)C)O)([C@H](C[C@H]5[C@@]4(OC(O5)(C)C)COC(=O)C)O)C)OC(=O)C6=CC=CC=C6</t>
  </si>
  <si>
    <t>Tasumatrol S </t>
  </si>
  <si>
    <t>CC1=C2[C@]3(CC4[C@]([C@]2(C(=O)OC3(C)C)O)([C@H](C[C@@H]([C@@]45COC(O5)(C6=CC=CC=C6)O)OC(=O)C)O)C)[C@@H](C1)O</t>
  </si>
  <si>
    <t>Tasumatrol A </t>
  </si>
  <si>
    <t>C29H34O11</t>
  </si>
  <si>
    <t>CC1=C2[C@@](C[C@@H]1O)([C@H]([C@H]3[C@]4([C@]2(C(=O)OC4)O)[C@H](C[C@@H]5[C@]3(CO5)OC(=O)C)O)OC(=O)C6=CC=CC=C6)C(C)(C)O</t>
  </si>
  <si>
    <r>
      <rPr>
        <sz val="11"/>
        <color theme="1"/>
        <rFont val="Times New Roman"/>
        <charset val="134"/>
      </rPr>
      <t>7beta,13alpha-Diacetoxy-2alpha,5alpha,10beta-trihydroxy-2(3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20)abeotaxa-4(20),11-dien-9-one</t>
    </r>
  </si>
  <si>
    <t>O[C@H]1C([C@@]2([C@H](C[C@@H](/C(C2)=C/[C@H](C(C(C)(C1=C3C)C)C[C@@H]3OC(C)=O)O)O)OC(C)=O)C)=O</t>
  </si>
  <si>
    <r>
      <rPr>
        <sz val="11"/>
        <color theme="1"/>
        <rFont val="Times New Roman"/>
        <charset val="134"/>
      </rPr>
      <t>7beta,10beta-Diacetoxy-2alpha,5alpha,13alpha-trihydroxy-2(3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20)abeotaxa-4(20),11-dien-9-one</t>
    </r>
  </si>
  <si>
    <t>CC(O[C@H]1C([C@@]2([C@H](C[C@@H](/C(C2)=C/[C@H](C(C(C)(C1=C3C)C)C[C@@H]3O)O)O)OC(C)=O)C)=O)=O</t>
  </si>
  <si>
    <t>2-Deacetyltaxin B</t>
  </si>
  <si>
    <t>CC1=C2[C@H](C(=O)[C@]3(C/C(=C\[C@H]([C@H](C2(C)C)C[C@@H]1OC(=O)C)O)/[C@H](C[C@@H]3OC(=O)C)O)C)OC(=O)C</t>
  </si>
  <si>
    <t>Taxezopidine P</t>
  </si>
  <si>
    <t>O[C@H]1C([C@@]2([C@H](C[C@@H](/C(C2)=C/[C@H](C(C(C)(C1=C3C)C)C[C@@H]3OC(C)=O)O)OC(/C=C/C4=CC=CC=C4)=O)O)C)=O</t>
  </si>
  <si>
    <r>
      <rPr>
        <sz val="11"/>
        <color theme="1"/>
        <rFont val="Times New Roman"/>
        <charset val="134"/>
      </rPr>
      <t>10beta,13alpha-Diacetoxy-5alpha-cinnamoyloxy-2alpha,7beta-dihydroxy-2(3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20)-abeotaxa-4(20),11-dien-9-one</t>
    </r>
  </si>
  <si>
    <t>CC1=C2[C@H](C(=O)[C@]3(C/C(=C\[C@@H]([C@@H](C2(C)C)C[C@@H]1OC(=O)C)O)/[C@H](C[C@@H]3O)OC(=O)/C=C/C4=CC=CC=C4)C)OC(=O)C</t>
  </si>
  <si>
    <t>2-Decacetyltaxuspine B</t>
  </si>
  <si>
    <t>CC(O[C@H]1C([C@@]2([C@H](C[C@@H](/C(C2)=C/[C@H](C(C(C)(C1=C3C)C)C[C@@H]3OC(C)=O)O)OC(/C=C/C4=CC=CC=C4)=O)O)C)=O)=O</t>
  </si>
  <si>
    <r>
      <rPr>
        <sz val="11"/>
        <color theme="1"/>
        <rFont val="Times New Roman"/>
        <charset val="134"/>
      </rPr>
      <t>7beta,10beta,13alpha-Triacetoxy-5alpha-cinnamoyloxy-2alpha-hydroxy-2(3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20)abeotaxa-4(20),11-dien-9-one</t>
    </r>
  </si>
  <si>
    <t>CC1=C2[C@H](C(=O)[C@]3(C/C(=C\[C@@H]([C@@H](C2(C)C)C[C@@H]1OC(=O)C)O)/[C@H](C[C@@H]3OC(=O)C)OC(=O)/C=C/C4=CC=CC=C4)C)OC(=O)C</t>
  </si>
  <si>
    <t>Taxine C (2-deacetlytaxine A)</t>
  </si>
  <si>
    <t>C33H45NO9</t>
  </si>
  <si>
    <t>O[C@H]1C([C@@]2([C@H](C[C@@H](/C(C2)=C/[C@H](C(C(C)(C1=C3C)C)C[C@@H]3OC(C)=O)O)OC(C(O)C(N(C)C)C4=CC=CC=C4)=O)O)C)=O</t>
  </si>
  <si>
    <r>
      <rPr>
        <sz val="11"/>
        <color theme="1"/>
        <rFont val="Times New Roman"/>
        <charset val="134"/>
      </rPr>
      <t>7beta,10beta,13alpha-Triacetoxy-5alpha-(3'-dimethylamino-3'-phenylpropanoyl-oxy)-2'-hydroxy-2(3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20)abeotaxa-4(20),11-dien-9-one</t>
    </r>
  </si>
  <si>
    <t>CC(O[C@H]1C([C@@]2([C@H](C[C@@H](/C(C2)=C/[C@H](C(C(C)(C1=C3C)C)C[C@@H]3OC(C)=O)O)OC(C(O)C(N(C)C)C4=CC=CC=C4)=O)OC(C)=O)C)=O)=O</t>
  </si>
  <si>
    <t>Deaminoacyltaxine A</t>
  </si>
  <si>
    <t>CC1([C@@H](O)C[C@@H]/2O)CC2=C([H])/C(OC(C)=O)[C@@]3([H])C[C@@H](OC(C)=O)C(C)=C([C@H](O)C1=O)C(C)3C</t>
  </si>
  <si>
    <r>
      <rPr>
        <sz val="11"/>
        <color theme="1"/>
        <rFont val="Times New Roman"/>
        <charset val="134"/>
      </rPr>
      <t>2alpha,7beta,13alpha-Triacetoxy-5alpha,9alpha-dihydroxy-2(3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20)abeotaxa-4(20),11-dien-10-one</t>
    </r>
  </si>
  <si>
    <t>C26H36O9 </t>
  </si>
  <si>
    <t>CC1=C2C(=O)[C@@H]([C@]3(C/C(=C\[C@@H]([C@@H](C2(C)C)C[C@@H]1OC(=O)C)OC(=O)C)/[C@H](C[C@@H]3OC(=O)C)O)C)O</t>
  </si>
  <si>
    <r>
      <rPr>
        <sz val="11"/>
        <color theme="1"/>
        <rFont val="Times New Roman"/>
        <charset val="134"/>
      </rPr>
      <t>2alpha,7beta-Diacetoxy-5alpha,10beta,13alpha-trihydroxy-2(3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20)abeotaxa-4(20),11-dien-9-one</t>
    </r>
  </si>
  <si>
    <t>CC1=C2[C@@H](O)C([C@@]3(C)C/C([C@@H](O)C[C@@H]3OC(C)=O)=C\[C@H](OC(C)=O)[C@H](C[C@@H]1O)C2(C)C)=O</t>
  </si>
  <si>
    <t>Taxuspine W</t>
  </si>
  <si>
    <t>CC1=C2[C@H](C(=O)[C@]3(C/C(=C\[C@@H]([C@@H](C2(C)C)C[C@@H]1OC(=O)C)OC(=O)C)/[C@H](C[C@@H]3OC(=O)C)O)C)O</t>
  </si>
  <si>
    <r>
      <rPr>
        <sz val="11"/>
        <color theme="1"/>
        <rFont val="Times New Roman"/>
        <charset val="134"/>
      </rPr>
      <t>2alpha,7beta,10beta-Triacetoxy-5alpha,13alpha-dihydroxy-2(3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20)abeotaxa-4(20),11-dien-9-one</t>
    </r>
  </si>
  <si>
    <t> C26H36O9</t>
  </si>
  <si>
    <t>CC1=C2[C@H](C(=O)[C@]3(C/C(=C\[C@@H]([C@@H](C2(C)C)C[C@@H]1O)OC(=O)C)/[C@H](C[C@@H]3OC(=O)C)O)C)OC(=O)C</t>
  </si>
  <si>
    <r>
      <rPr>
        <sz val="11"/>
        <color theme="1"/>
        <rFont val="Times New Roman"/>
        <charset val="134"/>
      </rPr>
      <t>Taxin B (5alpha-hydroxy-2alpha,7beta,10beta,13alpha-tetraacetoxy-2(3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20)abeotaxa-4(20),11-dien-9-one)</t>
    </r>
  </si>
  <si>
    <t>CC1=C2[C@H](C(=O)[C@]3(C/C(=C\[C@@H]([C@@H](C2(C)C)C[C@@H]1OC(=O)C)OC(=O)C)/[C@H](C[C@@H]3OC(=O)C)O)C)OC(=O)C</t>
  </si>
  <si>
    <r>
      <rPr>
        <sz val="11"/>
        <color theme="1"/>
        <rFont val="Times New Roman"/>
        <charset val="134"/>
      </rPr>
      <t>2alpha,7beta,10alpha-Triacetoxy-5alpha-hydroxy-2(3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20)abeotaxa-4(20),11-dien-9,13-dione</t>
    </r>
  </si>
  <si>
    <t>C26H34O9</t>
  </si>
  <si>
    <t>CC1=C2[C@@H](OC(C)=O)C([C@@]3(C)C/C([C@@H](O)C[C@@H]3OC(C)=O)=C\[C@H](OC(C)=O)[C@H](CC1=O)C2(C)C)=O</t>
  </si>
  <si>
    <r>
      <rPr>
        <sz val="11"/>
        <color theme="1"/>
        <rFont val="Times New Roman"/>
        <charset val="134"/>
      </rPr>
      <t>2alpha,5alpha,13alpha-Triacetoxy-7beta,10beta-dihydroxy-2(3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20)abeotaxa-4(20),11-dien-9-one</t>
    </r>
  </si>
  <si>
    <t>CC1=C2[C@@H](O)C([C@@]3(C)C/C([C@@H](O)C[C@@H]3OC(C)=O)=C\[C@H](OC(C)=O)[C@H](CC1OC(C)=O)C2(C)C)=O</t>
  </si>
  <si>
    <r>
      <rPr>
        <sz val="11"/>
        <color theme="1"/>
        <rFont val="Times New Roman"/>
        <charset val="134"/>
      </rPr>
      <t>2alpha,5alpha,13alpha-Triacetoxy-7beta-hydroxy-2(3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20)abeotaxa-4(20),11-diene-9,10-dione</t>
    </r>
  </si>
  <si>
    <t>CC1=C2[C@@H](O)C([C@@]3(C)C/C([C@@H](OC(C)=O)C[C@@H]3O)=C\[C@H](OC(C)=O)[C@H](CC1OC(C)=O)C2(C)C)=O</t>
  </si>
  <si>
    <r>
      <rPr>
        <sz val="11"/>
        <color theme="1"/>
        <rFont val="Times New Roman"/>
        <charset val="134"/>
      </rPr>
      <t>2alpha,5alpha,7beta,13alpha-Tetraacetoxy-10beta-hydroxy-2(3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20)abeotaxa-4(20),11-dien-9-one</t>
    </r>
  </si>
  <si>
    <t>CC1=C2C(=O)[C@@H]([C@]3(C/C(=C\[C@@H]([C@@H](C2(C)C)C[C@@H]1OC(=O)C)OC(=O)C)/[C@H](C[C@@H]3OC(=O)C)OC(=O)C)C)O</t>
  </si>
  <si>
    <r>
      <rPr>
        <sz val="11"/>
        <color theme="1"/>
        <rFont val="Times New Roman"/>
        <charset val="134"/>
      </rPr>
      <t>7-Deacetoxy-5-O-cinnamoyltaxin B (5alpha-cinnamoyloxy-2alpha,10beta,13alpha-triacetoxy-2(3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20)abeotaxa-3(4),11-dien-9-one)</t>
    </r>
  </si>
  <si>
    <t>CC1=C2[C@@H](OC(C)=O)C([C@@]3(C)C/C([C@@H](OC(/C=C/C4=CC=CC=C4)=O)CC3)=C\[C@H](OC(C)=O)[C@H](CC1OC(C)=O)C2(C)C)=O</t>
  </si>
  <si>
    <t>Taxuspinanane H (deaminoacylcinnamoyltaxine A)</t>
  </si>
  <si>
    <t>CC1=C2[C@H](C(=O)[C@]3(C/C(=C\[C@H]([C@@H](C2(C)C)C[C@@H]1OC(=O)C)OC(=O)C)/[C@H](C[C@@H]3O)OC(=O)/C=C/C4=CC=CC=C4)C)O</t>
  </si>
  <si>
    <t>Taxuspine B</t>
  </si>
  <si>
    <t>CC1=C2[C@H](C(=O)[C@]3(C/C(=C\[C@@H]([C@@H](C2(C)C)C[C@@H]1OC(=O)C)OC(=O)C)/[C@H](C[C@@H]3OC(=O)C)OC(=O)/C=C/C4=CC=CC=C4)C)O</t>
  </si>
  <si>
    <r>
      <rPr>
        <sz val="11"/>
        <color theme="1"/>
        <rFont val="Times New Roman"/>
        <charset val="134"/>
      </rPr>
      <t>5alpha-O-Cinnamoyltaxin B (5alpha-cinnamoyloxy-2alpha,7beta,10beta,13alpha-tetra-acetoxy-2(3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20)abeotaxa-4(20),11-dien-9-one)</t>
    </r>
  </si>
  <si>
    <t>CC1=C2[C@@H](OC(C)=O)C([C@@]3(C)C/C([C@@H](OC(/C=C/C4=CC=CC=C4)=O)C[C@H]3OC(C)=O)=C\[C@H](OC(C)=O)[C@H](CC1OC(C)=O)C2(C)C)=O</t>
  </si>
  <si>
    <t>Dantaxusin A</t>
  </si>
  <si>
    <t>C35H40O10</t>
  </si>
  <si>
    <t>CC1=C2C(=O)C(=O)[C@]3(C/C(=C\[C@@H]([C@@H](C2(C)C)C[C@@H]1OC(=O)C)OC(=O)C)/[C@H](C[C@@H]3OC(=O)C)OC(=O)/C=C/C4=CC=CC=C4)C</t>
  </si>
  <si>
    <r>
      <rPr>
        <sz val="11"/>
        <color theme="1"/>
        <rFont val="Times New Roman"/>
        <charset val="134"/>
      </rPr>
      <t>2alpha,7beta,13alpha-Triacetoxy-5alpha-[(2'R,3'S)-N,N-dimethyl-3'-phenyl-propanoyloxy]-10beta-hydroxy-2(3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20)abeotaxa-4(20),11-dien-9-one</t>
    </r>
  </si>
  <si>
    <t>CC1=C2C(O)C([C@@]3(C)C/C([C@@H](OC(CC(N(C)C)C4=CC=CC=C4)=O)C[C@H]3OC(C)=O)=C\[C@H](OC(C)=O)[C@H](C[C@@H]1OC(C)=O)C2(C)C)=O</t>
  </si>
  <si>
    <r>
      <rPr>
        <sz val="11"/>
        <color theme="1"/>
        <rFont val="Times New Roman"/>
        <charset val="134"/>
      </rPr>
      <t>2alpha,7beta,13alpha-Triacetoxy-5alpha-[(2'R,3'S)-N,N-dimethyl- 3'-phenyl-propanoyloxy]-2(3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20)abeotaxa-4(20),11-diene-9,10-dione</t>
    </r>
  </si>
  <si>
    <t>CC1=C2C(C([C@@]3(C)C/C([C@@H](OC(CC(N(C)C)C4=CC=CC=C4)=O)C[C@H]3OC(C)=O)=C\[C@H](OC(C)=O)[C@H](C[C@@H]1OC(C)=O)C2(C)C)=O)=O</t>
  </si>
  <si>
    <t>mass665.3200</t>
  </si>
  <si>
    <t>Taxine A</t>
  </si>
  <si>
    <t>C35H47NO10</t>
  </si>
  <si>
    <t>CC1=C2[C@H](C(=O)[C@]3(C/C(=C\[C@@H]([C@@H](C2(C)C)C[C@@H]1OC(=O)C)OC(=O)C)/[C@H](C[C@@H]3O)OC(=O)[C@@H]([C@H](C4=CC=CC=C4)N(C)C)O)C)O</t>
  </si>
  <si>
    <t>7-O-Acetyltaxine A</t>
  </si>
  <si>
    <t> C37H49NO11</t>
  </si>
  <si>
    <t>CC1=C2[C@@H](C(=O)[C@@]3(C/C(=C\[C@H]([C@@H](C2(C)C)C[C@H]1OC(=O)C)OC(=O)C)/[C@H](C[C@H]3OC(=O)C)OC(=O)[C@H](C(C4=CC=CC=C4)N(C)C)O)C)O</t>
  </si>
  <si>
    <r>
      <rPr>
        <sz val="11"/>
        <color theme="1"/>
        <rFont val="Times New Roman"/>
        <charset val="134"/>
      </rPr>
      <t>2alpha,7beta,10beta,13alpha-Tetraacetoxy-5alpha-[(2'R,3'S)-N,N-dimethyl-3'-phenylisoseryloxy]-2(3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20)abeotaxa-4(20),11-dien-9-one</t>
    </r>
  </si>
  <si>
    <t>CC1=C2[C@H](C(=O)[C@]3(C/C(=C\[C@@H]([C@@H](C2(C)C)C[C@@H]1OC(=O)C)OC(=O)C)/[C@H](C[C@@H]3OC(=O)C)OC(=O)C(C(C4=CC=CC=C4)N(C)C)O)C)OC(=O)C</t>
  </si>
  <si>
    <r>
      <rPr>
        <sz val="11"/>
        <color theme="1"/>
        <rFont val="Times New Roman"/>
        <charset val="134"/>
      </rPr>
      <t>2alpha,7beta-Diacetoxy-5alpha,10beta,13beta-trihydroxy-2(3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20)abeotaxa-4(20),11-dien-9-one</t>
    </r>
  </si>
  <si>
    <t>O=C([C@@H]1O)[C@@]2(C)C/C([C@@H](O)C[C@@H]2OC(C)=O)=C\[C@H](OC(C)=O)[C@]3([H])C[C@@H](O)C(C)=C1C3(C)C</t>
  </si>
  <si>
    <r>
      <rPr>
        <sz val="11"/>
        <color theme="1"/>
        <rFont val="Times New Roman"/>
        <charset val="134"/>
      </rPr>
      <t>2alpha,10beta,13alpha-Triacetoxy-2(3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20)abeotaxa-4(20),5,11-triene-7,9-dione</t>
    </r>
  </si>
  <si>
    <t>C26H32O8</t>
  </si>
  <si>
    <t>CC1=C2[C@@H](OC(C)=O)C([C@@]3(C)C/C(C=CC3=O)=C\[C@H](OC(C)=O)[C@H](C[C@@H]1OC(C)=O)C2(C)C)=O</t>
  </si>
  <si>
    <r>
      <rPr>
        <sz val="11"/>
        <color theme="1"/>
        <rFont val="Times New Roman"/>
        <charset val="134"/>
      </rPr>
      <t>2alpha,13alpha-Diacetoxy-10beta-hydroxy-2(3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20)abeotaxa-4(20),5,11-triene-7,9-dione</t>
    </r>
  </si>
  <si>
    <t>C24H30O7</t>
  </si>
  <si>
    <t>CC1=C2[C@@H](O)C([C@@]3(C)C/C(C=CC3=O)=C\[C@H](OC(C)=O)[C@H](C[C@@H]1OC(C)=O)C2(C)C)=O</t>
  </si>
  <si>
    <t>Taxumairone A</t>
  </si>
  <si>
    <t>CC1=C2[C@H](C(=O)[C@]3(C/C(=C\[C@@H]([C@@H](C2(C)C)C[C@@H]1OC(=O)C)OC(=O)C)/C(=O)C=C3)C)OC(=O)C</t>
  </si>
  <si>
    <r>
      <rPr>
        <sz val="11"/>
        <color theme="1"/>
        <rFont val="Times New Roman"/>
        <charset val="134"/>
      </rPr>
      <t>2alpha,13alpha-Diacetoxy-10beta-hydroxy-2(3</t>
    </r>
    <r>
      <rPr>
        <sz val="11"/>
        <color theme="1"/>
        <rFont val="等线"/>
        <charset val="134"/>
      </rPr>
      <t>→</t>
    </r>
    <r>
      <rPr>
        <sz val="11"/>
        <color theme="1"/>
        <rFont val="Times New Roman"/>
        <charset val="134"/>
      </rPr>
      <t>20)abeotaxa-4(20),6,11-triene-5,9-dione</t>
    </r>
  </si>
  <si>
    <t>CC1=C2[C@@H](O)C([C@@]3(C)C/C(C(C=C3)=O)=C\[C@H](OC(C)=O)[C@H](C[C@@H]1OC(C)=O)C2(C)C)=O</t>
  </si>
  <si>
    <t>9alpha,10beta-Diacetoxy-5alpha-cinnamoyloxy-3,11-cyclotax-4(20)-en-13-one</t>
  </si>
  <si>
    <t>CC1[C@]23[C@@H](OC(C)=O)[C@H](OC(C)=O)[C@]4(C)CC=C(OC(/C=C/C5=CC=CC=C5)=O)C([C@@]42CC(CC1=O)C3(C)C)=O</t>
  </si>
  <si>
    <t>10beta-Acetoxy-2alpha,5alpha,9alpha-trihydroxy-3,11-cyclotax-4(20)-en-13-one</t>
  </si>
  <si>
    <t>C=C1[C@H](CC[C@@](C)([C@H]([C@@H]([C@](C(C)([C@]2(CC3=O)[H])C)4[C@@H]3C)OC(C)=O)O)[C@]14[C@@H]2O)O</t>
  </si>
  <si>
    <t>5-Cinnamoylphototaxicin II</t>
  </si>
  <si>
    <t>CC1[C@]23[C@@H](O)[C@H](O)[C@]4(C)CC=C(OC(/C=C/C5=CC=CC=C5)=O)C([C@@]42[C@H](O)C(CC1=O)C3(C)C)=O</t>
  </si>
  <si>
    <t>10beta-Acetoxy-5alpha-cinnamoyloxy-2alpha,9alpha-dihydroxy-3,11-cyclotax-4(20)-en-13-one</t>
  </si>
  <si>
    <t>CC1[C@]23[C@@H](OC(C)=O)[C@H](O)[C@]4(C)CC=C(OC(/C=C/C5=CC=CC=C5)=O)C([C@@]42[C@H](O)C(CC1=O)C3(C)C)=O</t>
  </si>
  <si>
    <t>9alpha,10beta-Diacetoxy-5alpha-cinnamoyloxy-2alpha-hydroxy-3,11-cyclotax-4(20)-en-13-one</t>
  </si>
  <si>
    <t>CC1[C@]23[C@@H](OC(C)=O)[C@H](OC(C)=O)[C@]4(C)CC[C@H](OC(/C=C/C5=CC=CC=C5)=O)C([C@@]42[C@H](O)C(CC1=O)C3(C)C)=O</t>
  </si>
  <si>
    <t>2alpha-Acetoxy-5alpha,9alpha,10beta-trihydroxy-3,11-cyclotax-4(20)-en-13-one</t>
  </si>
  <si>
    <t>CC1[C@]23[C@@H](O)[C@H](O)[C@]4(C)CC=C(O)C([C@@]42[C@H](OC(C)=O)C(CC1=O)C3(C)C)=O</t>
  </si>
  <si>
    <t>Taxinine K</t>
  </si>
  <si>
    <t>CC1[C@]23[C@@H](OC(C)=O)[C@H](OC(C)=O)[C@]4(C)CC=C(O)C([C@@]42[C@H](OC(C)=O)C(CC1=O)C3(C)C)=O</t>
  </si>
  <si>
    <t>Taxinine L</t>
  </si>
  <si>
    <t>CC1[C@]23[C@@H](OC(C)=O)[C@H](OC(C)=O)[C@]4(C)CC=C(OC(C)=O)C([C@@]42[C@H](OC(C)=O)C(CC1=O)C3(C)C)=O</t>
  </si>
  <si>
    <t>2alpha-Acetoxy-5alpha-cinnamoyloxy-9alpha,10beta-dihydroxy-3,11-cyclotax-4(20)-en-13-one</t>
  </si>
  <si>
    <t>C[C@@H]1C(=O)C[C@H]2[C@H]([C@@]34[C@]1(C2(C)C)[C@H]([C@@H]([C@@]3(CC[C@@H](C4=C)OC(=O)/C=C/C5=CC=CC=C5)C)O)O)OC(=O)C</t>
  </si>
  <si>
    <t>2,10-Diacetyl-5-cinnamoylphototaxicin II (2alpha,10beta-diacetoxy-5alpha-cinnamoyloxy-9alpha-hydroxy-3,11-cyclotax-4(20)-en-13-one)</t>
  </si>
  <si>
    <t>CC1[C@]23[C@@H](OC(C)=O)[C@H](O)[C@]4(C)CC=C(OC(/C=C/C5=CC=CC=C5)=O)C([C@@]42[C@H](OC(C)=O)C(CC1=O)C3(C)C)=O</t>
  </si>
  <si>
    <t>2,9-Diacetyl-5-cinnamoylphototaxicin II</t>
  </si>
  <si>
    <t>CC1[C@]23[C@@H](O)[C@H](OC(C)=O)[C@]4(C)CC=C(OC(/C=C/C5=CC=CC=C5)=O)C([C@@]42[C@H](OC(C)=O)C(CC1=O)C3(C)C)=O</t>
  </si>
  <si>
    <t>Taxuspine C</t>
  </si>
  <si>
    <t>C[C@@H]1C(=O)C[C@H]2[C@H]([C@@]34[C@@]1(C2(C)C)[C@H]([C@@H]([C@@]3(CC[C@@H](C4=C)OC(=O)/C=C/C5=CC=CC=C5)C)OC(=O)C)OC(=O)C)OC(=O)C</t>
  </si>
  <si>
    <t>2,10-Diacetyl-5-cinnamoyl-7beta-hydroxyphototaxicin II 3,11-cyclotax-4(20)-en-13-one</t>
  </si>
  <si>
    <t>CC1[C@]23[C@@H](OC(C)=O)[C@H](O)[C@]4(C)[C@H](O)C=C(OC(/C=C/C5=CC=CC=C5)=O)C([C@@]42[C@H](OC(C)=O)C(CC1=O)C3(C)C)=O</t>
  </si>
  <si>
    <t>7beta-Acetoxytaxuspine C</t>
  </si>
  <si>
    <t>CC1[C@]23[C@@H](OC(C)=O)[C@H](OC(C)=O)[C@]4(C)[C@H](OC(C)=O)C=C(OC(/C=C/C5=CC=CC=C5)=O)C([C@@]42[C@H](OC(C)=O)C(CC1=O)C3(C)C)=O</t>
  </si>
  <si>
    <t>10beta-Acetoxy-5alpha-cinnamoyloxy-1beta,2alpha,9alpha-trihydroxy-3,11-cyclotax-4(20)-en-13-one</t>
  </si>
  <si>
    <t>CC1[C@]23[C@@H](OC(C)=O)[C@H](O)[C@]4(C)CC=C(OC(/C=C/C5=CC=CC=C5)=O)C([C@@]42[C@H](O)[C@@](CC1=O)(O)C3(C)C)=O</t>
  </si>
  <si>
    <t>5-Cinnamoyl-9-acetylphototaxicin I</t>
  </si>
  <si>
    <t>CC1=C2[C@H]([C@@H]([C@@]3(CC[C@@H](C(=C)[C@H]3[C@@H]([C@@](C2(C)C)(CC1=O)O)O)OC(=O)/C=C/C4=CC=CC=C4)C)OC(=O)C)O</t>
  </si>
  <si>
    <t>2alpha,10beta-Diacetoxy-5alpha-cinnamoyloxy-1beta,9alpha-dihydroxy-3,11-cyclotax-4(20)-en-13-one</t>
  </si>
  <si>
    <t>C35H40O9</t>
  </si>
  <si>
    <t>CC1[C@]23[C@@H](OC(C)=O)[C@H](O)[C@]4(C)CC=C(OC(/C=C/C5=CC=CC=C5)=O)C([C@@]42[C@H](OC(C)=O)[C@@](CC1=O)(O)C3(C)C)=O</t>
  </si>
  <si>
    <t>1beta-Hydroxytaxuspine C</t>
  </si>
  <si>
    <t>CC1[C@]23[C@@H](OC(C)=O)[C@H](OC(C)=O)[C@]4(C)CC=C(OC(/C=C/C5=CC=CC=C5)=O)C([C@@]42[C@H](OC(C)=O)[C@@](CC1=O)(O)C3(C)C)=O</t>
  </si>
  <si>
    <t>2,10-Diacetyl-5-[(Z)-cinnamoyl]phototaxicin II</t>
  </si>
  <si>
    <t>CC1[C@]23[C@@H](OC(C)=O)[C@H](O)[C@]4(C)CC=C(OC(/C=C\C5=CC=CC=C5)=O)C([C@@]42[C@H](OC(C)=O)C(CC1=O)C3(C)C)=O</t>
  </si>
  <si>
    <t>2alpha,10beta-Diacetoxy-9alpha-hydroxy-5alpha-(3'-dimethylamino-3'-phenylpropanoyloxy)-3,11-cyclotax-4(20)-en-13-one</t>
  </si>
  <si>
    <t>C[C@@H]1C(=O)C[C@H]2[C@H]([C@@]34[C@]1(C2(C)C)[C@H]([C@@H]([C@@]3(CC[C@@H](C4=C)OC(=O)C[C@H](C5=CC=CC=C5)N(C)C)C)O)OC(=O)C)OC(=O)C</t>
  </si>
  <si>
    <t>Taxuspine H</t>
  </si>
  <si>
    <t>C37H49NO9</t>
  </si>
  <si>
    <t>CC(O[C@H]1[C@]23C([C@H](CC[C@]2([C@H]([C@@H]([C@]([C@@H]4C)3C(C)([C@H]1CC4=O)C)OC(C)=O)OC(C)=O)C)OC(C[C@H](C5=CC=CC=C5)N(C)C)=O)=C)=O</t>
  </si>
  <si>
    <t>2alpha,7alpha,10beta-Triacetoxy-5alpha-cinnamoyloxy-9alpha-hydroxy-3,11-cyclotax-4(20)-en-13-one</t>
  </si>
  <si>
    <t>C[C@@H]1C(=O)C[C@H]2[C@H]([C@@]34[C@]1(C2(C)C)[C@H]([C@@H]([C@@]3([C@@H](C[C@@H](C4=C)OC(=O)/C=C/C5=CC=CC=C5)OC(=O)C)C)O)OC(=O)C)OC(=O)C</t>
  </si>
  <si>
    <t>7beta,10beta-Diacetoxy-9alpha-hydroxy-3,11-cyclotax-4(20),5-dien-13-one</t>
  </si>
  <si>
    <t>C24H32O6</t>
  </si>
  <si>
    <t>C[C@@H]1C(=O)C[C@H]2C[C@@]34[C@]1(C2(C)C)[C@H]([C@@H]([C@@]3([C@H](C=CC4=C)OC(=O)C)C)O)OC(=O)C</t>
  </si>
  <si>
    <t>3alpha,11alpha-cyclotaxinine NN-1</t>
  </si>
  <si>
    <t>C26H34O7</t>
  </si>
  <si>
    <t>C[C@@H]1C(C[C@H]2C[C@@]34[C@@]1([C@@H](OC(C)=O)C[C@]3(C)[C@@H](OC(C)=O)C=C(OC(C)=O)C4=C)C2(C)C)=O</t>
  </si>
  <si>
    <t>2alpha,7beta,10beta-Triacetoxy-5-cinnamyloxy-9alpha-hydroxy-3alpha,11alpha-cyclotaxa-4(20),5-dien-13-one</t>
  </si>
  <si>
    <t>C[C@@H]1C(=O)C[C@H]2[C@H]([C@@]34[C@]1(C2(C)C)[C@H]([C@@H]([C@@]3([C@H](C=C(C4=C)OC(=O)/C=C/C5=CC=CC=C5)OC(=O)C)C)O)OC(=O)C)OC(=O)C</t>
  </si>
  <si>
    <t>2alpha,9alpha-Diacetoxy-5alpha-cinnamoyloxy-10beta,11beta-dihydroxy-14beta,20-cyclotax-3-en-13-one</t>
  </si>
  <si>
    <t>CC1[C@]2(O)[C@@H](O)[C@H](OC(C)=O)[C@]3(C)CC[C@H](OC(/C=C/C4=CC=CC=C4)=O)C(C5)=C3[C@H](OC(C)=O)C([C@H]5C1=O)C2(C)C</t>
  </si>
  <si>
    <t>2alpha,9alpha,10beta-Triacetoxy-5alpha-hydroxy-3,11-cyclo-12,20-cyclotaxa-13-one </t>
  </si>
  <si>
    <t>CC(=O)O[C@@H]1[C@@H]2CC(=O)[C@@]3(C[C@H]4[C@@]15[C@]3(C2(C)C)[C@H]([C@@H]([C@@]5(CC[C@@H]4O)C)OC(=O)C)OC(=O)C)C</t>
  </si>
  <si>
    <t>Dipropellane B</t>
  </si>
  <si>
    <t>C[C@@]12[C@]34[C@@H](OC(C)=O)[C@H](OC(C)=O)[C@]5(C)CC[C@H](O)C(O6)(C2)[C@@]53[C@H](O)C([C@H]6[C@@H]1O)C4(C)C</t>
  </si>
  <si>
    <t>Dipropellane A</t>
  </si>
  <si>
    <t>C[C@@]12[C@]34[C@@H](OC(C)=O)[C@H](O)[C@]5(C)CC[C@H](O)C(O6)(C2)[C@@]53[C@H](OC(C)=O)C([C@H]6[C@@H]1O)C4(C)C</t>
  </si>
  <si>
    <t>Dipropellane C</t>
  </si>
  <si>
    <t>C[C@@]12[C@]34[C@@H](OC(C)=O)[C@H](OC(C)=O)[C@]5(C)CC[C@H](O)C(O6)(C2)[C@@]53[C@H](OC(C)=O)C([C@H]6[C@@H]1O)C4(C)C</t>
  </si>
  <si>
    <t>Taxpropellane A</t>
  </si>
  <si>
    <t>C24H35O8</t>
  </si>
  <si>
    <t>CC(=O)O[C@@H]1[C@@H]2C[C@]3([C@@]4([C@@]5([C@@]16[C@@]4(C2(C)C)[C@H]([C@@H]([C@@]6(CC[C@@H]5O)C)O)OC(=O)C)CO3)C)O</t>
  </si>
  <si>
    <t>Canataxpropellane (2alpha,10beta-diacetoxy-5alpha,9alpha,20alpha-trihydroxy-3alpha,11alpha;4alpha,12alpha;14alpha,20-tricyclotaxan-13-one</t>
  </si>
  <si>
    <t>C25H34O8</t>
  </si>
  <si>
    <t>C[C@@]12[C@]34[C@@H](OC(C)=O)[C@H](O)[C@]5(C)CC[C@H](O)C([C@@H]6O)(C2)[C@@]53[C@H](OC(C)=O)C([C@H]6C1=O)C4(C)C</t>
  </si>
  <si>
    <t>Tasumatrol M</t>
  </si>
  <si>
    <t>C/C/1=C(/[C@@H](C2=C([C@H](C[C@H](C2(C)C)[C@H](/C=C(\[C@H](C[C@H]1O)O)/COC(=O)C)O)OC(=O)C)C)OC(=O)C)\OC(=O)C</t>
  </si>
  <si>
    <t>5-Deacetyltaxachitriene B</t>
  </si>
  <si>
    <t>CC1=C2[C@H](/C(=C(/[C@H](C[C@@H](/C(=C/[C@@H]([C@@H](C2(C)C)C[C@@H]1OC(=O)C)O)/CO)O)OC(=O)C)\C)/OC(=O)C)OC(=O)C</t>
  </si>
  <si>
    <t>2-Deacetyltaxachitriene A</t>
  </si>
  <si>
    <t>CC(O[C@H]1/C(OC(C)=O)=C([C@H](C[C@@H](/C(COC(C)=O)=C/[C@@H]([C@@H](C(C)(C1=C2C)C)C[C@@H]2OC(C)=O)O)O)OC(C)=O)\C)=O</t>
  </si>
  <si>
    <t>(3E,8E)-7beta,9,10beta-Triacetoxy-2alpha,5alpha,20-trihydroxy-3,8-secotaxa-3,8,11-trien-13-one</t>
  </si>
  <si>
    <t>C/C/1=C(/[C@@H](C2=C(C(=O)C[C@H](C2(C)C)[C@H](/C=C(\[C@H](C[C@@H]1OC(=O)C)O)/CO)O)C)OC(=O)C)\OC(=O)C</t>
  </si>
  <si>
    <t>Taxuspine U</t>
  </si>
  <si>
    <t>C/C/1=C(/[C@@H](C2=C([C@H](C[C@H](C2(C)C)[C@H](/C=C(/[C@H](C[C@@H]1O)OC(=O)C)\CO)O)OC(=O)C)C)OC(=O)C)\OC(=O)C</t>
  </si>
  <si>
    <t>Taxachitriene B</t>
  </si>
  <si>
    <t>CC(O[C@H]1/C(OC(C)=O)=C([C@H](C[C@@H](/C(CO)=C\[C@@H]([C@@H](C(C)(C1=C2C)C)C[C@@H]2OC(C)=O)O)OC(C)=O)OC(C)=O)\C)=O</t>
  </si>
  <si>
    <t>2,7-Dideacetyltaxuspine X</t>
  </si>
  <si>
    <t>CC(O[C@H]1/C(OC(C)=O)=C([C@H](C[C@@H](/C(COC(C)=O)=C\[C@@H]([C@@H](C(C)(C1=C2C)C)C[C@@H]2OC(C)=O)O)OC(/C=C/C3=CC=CC=C3)=O)O)\C)=O</t>
  </si>
  <si>
    <t>(3E,8E)-9,10beta,13alpha-Triacetoxy-2alpha,7beta,20-trihydroxy-5alpha-[(E)-cinnamoyloxy]-3,8-secotaxa-3,8,11-triene</t>
  </si>
  <si>
    <t>C35H44O11</t>
  </si>
  <si>
    <t>CC(O[C@H]1/C(OC(C)=O)=C([C@H](C[C@@H](/C(CO)=C\[C@@H]([C@@H](C(C)(C1=C2C)C)C[C@@H]2OC(C)=O)O)OC(/C=C/C3=CC=CC=C3)=O)O)\C)=O</t>
  </si>
  <si>
    <t>2,20-Dideacetyltaxuspine X</t>
  </si>
  <si>
    <t>CC(O[C@H]1/C(OC(C)=O)=C([C@H](C[C@@H](/C(CO)=C\[C@@H]([C@@H](C(C)(C1=C2C)C)C[C@@H]2OC(C)=O)O)OC(/C=C/C3=CC=CC=C3)=O)OC(C)=O)\C)=O</t>
  </si>
  <si>
    <t>2-Deacetyltaxuspine X</t>
  </si>
  <si>
    <t>CC(O[C@H]1/C(OC(C)=O)=C([C@H](C[C@@H](/C(COC(C)=O)=C\[C@@H]([C@@H](C(C)(C1=C2C)C)C[C@@H]2OC(C)=O)O)OC(/C=C/C3=CC=CC=C3)=O)OC(C)=O)\C)=O</t>
  </si>
  <si>
    <t>Tasumatrol N</t>
  </si>
  <si>
    <t>CC1=C2[C@H](/C(=C(\[C@@H](CC(=O)/C(=C\[C@@H]([C@@H](C2(C)C)C[C@@H]1OC(=O)C)O)/COC(=O)C)O)/C)/OC(=O)C)OC(=O)C</t>
  </si>
  <si>
    <t>7-Deacetylcanadensene</t>
  </si>
  <si>
    <t>CC(O[C@H]1/C(OC(C)=O)=C([C@H](C[C@@H](/C(CO)=C\[C@@H]([C@@H](C(C)(C1=C2C)C)C[C@@H]2OC(C)=O)OC(C)=O)O)O)\C)=O</t>
  </si>
  <si>
    <t>7-Deacetyltaxachitrine A ((3E,8E)-2alpha,9,10beta,13alpha,20-penta-acetoxy-5alpha,7beta-dihydroxy-3,8-secotaxa-3,8,11-triene)</t>
  </si>
  <si>
    <t>CC(O[C@H]1/C(OC(C)=O)=C([C@H](C[C@@H](/C(COC(C)=O)=C\[C@@H]([C@@H](C(C)(C1=C2C)C)C[C@@H]2OC(C)=O)OC(C)=O)O)O)\C)=O</t>
  </si>
  <si>
    <t>13-Deacetylcanadensene</t>
  </si>
  <si>
    <t>CC(O[C@H]1/C(O)=C([C@H](C[C@@H](/C(CO)=C\[C@@H]([C@@H](C(C)(C1=C2C)C)C[C@@H]2OC(C)=O)OC(C)=O)O)OC(C)=O)\C)=O</t>
  </si>
  <si>
    <t>13-Deacetyltaxachitrine A</t>
  </si>
  <si>
    <t>CC(O[C@H]1/C(O)=C([C@H](C[C@@H](/C(COC(C)=O)=C\[C@@H]([C@@H](C(C)(C1=C2C)C)C[C@@H]2OC(C)=O)OC(C)=O)O)OC(C)=O)\C)=O</t>
  </si>
  <si>
    <t>5-epi-Canadensene</t>
  </si>
  <si>
    <t>CC1=C2[C@H](/C(=C(/[C@H](C[C@@H](/C(=C/[C@@H]([C@@H](C2(C)C)C[C@@H]1OC(=O)C)OC(=O)C)/CO)O)OC(=O)C)\C)/OC(=O)C)OC(=O)C</t>
  </si>
  <si>
    <t>Taxachitriene A</t>
  </si>
  <si>
    <t>CC1=C2[C@H](/C(=C(/[C@H](C[C@@H](/C(=C/[C@@H]([C@@H](C2(C)C)C[C@@H]1OC(=O)C)OC(=O)C)/COC(=O)C)O)OC(=O)C)\C)/OC(=O)C)OC(=O)C</t>
  </si>
  <si>
    <t>20-O-Cinnamoyl-5-epi-canadensene</t>
  </si>
  <si>
    <t>CC(O[C@H]1/C(OC(C)=O)=C([C@H](C[C@@H](/C(COC(/C=C/C2=CC=CC=C2)=O)=C\[C@@H]([C@@H](C(C)(C1=C3C)C)C[C@@H]3OC(C)=O)OC(C)=O)O)OC(C)=O)\C)=O</t>
  </si>
  <si>
    <t>(3E,8E)-2alpha,7beta-9,10beta,20-Pentaacetoxy-5alpha-hydroxy-3,8-secotaxa-3,8,11-trien-13-one</t>
  </si>
  <si>
    <t>C30H40O12</t>
  </si>
  <si>
    <t>CC(O[C@H]1C(C([C@H](C[C@@H](/C(COC(C)=O)=C\[C@@H]([C@@H](C(C)(C1=C2C)C)C[C@@H]2OC(C)=O)OC(C)=O)O)OC(C)=O)=C)=O)=O</t>
  </si>
  <si>
    <t>(3E,8E)-2alpha,5alpha,7beta,9,10beta,13alpha-Hexaacetoxy-20-hydroxy-3,8-secotaxa-3,8,11-triene</t>
  </si>
  <si>
    <t>CC(O[C@H]1C(C([C@H](C[C@@H](/C(CO)=C\[C@@H]([C@@H](C(C)(C1=C2C)C)C[C@@H]2OC(C)=O)OC(C)=O)OC(C)=O)OC(C)=O)=C)OC(C)=O)=O</t>
  </si>
  <si>
    <t>(3E,8E)-2alpha,9,10beta,13alpha,20-Penta-acetoxy-7beta-hydroxy-3,8-secotaxa-3,8,11-trien-13-one</t>
  </si>
  <si>
    <t>CC(O[C@H]1C(C([C@H](CC(/C(COC(C)=O)=C\[C@@H]([C@@H](C(C)(C1=C2C)C)C[C@@H]2OC(C)=O)OC(C)=O)=O)O)=C)OC(C)=O)=O</t>
  </si>
  <si>
    <t>5-epi-O-Cinnamoylcanadensene</t>
  </si>
  <si>
    <t>CC1=C2[C@H](/C(=C(\[C@H](C[C@@H](/C(=C\[C@@H]([C@@H](C2(C)C)C[C@@H]1OC(=O)C)OC(=O)C)/CO)OC(=O)/C=C/C3=CC=CC=C3)OC(=O)C)/C)/OC(=O)C)OC(=O)C</t>
  </si>
  <si>
    <t>Taxuspine X</t>
  </si>
  <si>
    <t>C41H50O14</t>
  </si>
  <si>
    <t>CC1=C2[C@H](/C(=C(/[C@H](C[C@@H](/C(=C/[C@@H]([C@@H](C2(C)C)C[C@@H]1OC(=O)C)OC(=O)C)/COC(=O)C)OC(=O)/C=C/C3=CC=CC=C3)OC(=O)C)\C)/OC(=O)C)OC(=O)C</t>
  </si>
  <si>
    <t>(3E,8E)-2alpha,7beta,9,10beta,13alpha,20-Hexaacetoxy-5-[2'-acetoxy-cinnamoyloxy]-3,8-secotaxa-3,8,11-triene</t>
  </si>
  <si>
    <t>C43H52O16</t>
  </si>
  <si>
    <t>CC1=C2[C@@H](OC(C)=O)/C(OC(C)=O)=C(C)/[C@@H](OC(C)=O)C[C@H](OC(/C=C(OC(C)=O)/C3=CC=CC=C3)=O)/C(COC(C)=O)=C\[C@H](OC(C)=O)[C@H](C[C@@H]1OC(C)=O)C2(C)C</t>
  </si>
  <si>
    <t>13-ace-tyl-9-deacetyl-9-benzoyl-10-debenzoyltaxchinin-A</t>
  </si>
  <si>
    <t>C47H57NO15</t>
  </si>
  <si>
    <t>CC1=C2[C@@H](OC(C)=O)/C(OC(C)=O)=C(C)/[C@@H](OC(C)=O)C[C@H](OC([C@@H](O)[C@H](N(C)C)C3=CC=CC=C3)=O)/C(COC(C)=O)=C\[C@H](OC(C)=O)[C@H](C[C@@H]1OC(C)=O)C2(C)C</t>
  </si>
  <si>
    <t>Canadensene (20-deacetyltaxachitriene A)</t>
  </si>
  <si>
    <t>O=C(C)O[C@@H]1C2=C(C)[C@H](C[C@@H]([C@@H](/C=C([C@H](C[C@@H](/C(C)=C1\O)OC(C)=O)O)/COC(C)=O)OC(C)=O)C2(C)C)OC(C)=O</t>
  </si>
  <si>
    <t>Taxumairol M</t>
  </si>
  <si>
    <t>CC1=C2[C@H](/C(=C(\[C@H](C[C@@H](/C(=C\[C@@H]([C@@H]([C@@]2(C)CO)C[C@@H]1OC(=O)C)OC(=O)C)/COC(=O)C)O)OC(=O)C)/C)/OC(=O)C)OC(=O)C</t>
  </si>
  <si>
    <t>Canataxpyran A</t>
  </si>
  <si>
    <t>CC(O[C@H]1/C(OC(C)=O)=C(C)\[C@H](C[C@@H](/C(COC(C)=O)=C\[C@@H](C2C[C@@H]3C(C)=C1[C@]2(CO3)C)O)O)OC(C)=O)=O</t>
  </si>
  <si>
    <t>(3E,7E)-10beta,13alpha-Diacetoxy-2alpha,5alpha,20-trihydroxy- 3,8-secotaxa-3,7,11-trien-9-one</t>
  </si>
  <si>
    <t>C/C/1=C\C[C@@H](/C(=C/[C@@H]([C@@H]2C[C@@H](C(=C(C2(C)C)[C@H](C1=O)OC(=O)C)C)OC(=O)C)O)/CO)O</t>
  </si>
  <si>
    <t>(3E,7E)-2alpha,10beta-Diacetoxy-5alpha,13alpha,20-trihydroxy-3,8-secotaxa-3,7,11-trien-9-one</t>
  </si>
  <si>
    <t>O[C@@H](C/C=C1\C)/C(CO)=C/[C@@H]([C@H]2C(C)(C([C@H](C1=O)OC(C)=O)=C([C@H](C2)O)C)C)OC(C)=O</t>
  </si>
  <si>
    <t>(3E,7E)-2alpha,10beta,13alpha-Triacetoxy-5alpha,20-dihydroxy-3,8- secotaxa-3,7,11-trien-9-one</t>
  </si>
  <si>
    <t>C/C/1=C\C[C@@H](/C(=C/[C@@H]([C@@H]2C[C@@H](C(=C(C2(C)C)[C@H](C1=O)OC(=O)C)C)OC(=O)C)OC(=O)C)/CO)O</t>
  </si>
  <si>
    <t>(3E,7E)-2alpha,10beta,13alpha,20-Tetraacetoxy-5alpha-hydroxy-3,8-secotaxa-3,7,11-trien-9-one</t>
  </si>
  <si>
    <t>C/C/1=C\C[C@@H](/C(=C/[C@@H]([C@@H]2C[C@@H](C(=C(C2(C)C)[C@H](C1=O)OC(=O)C)C)OC(=O)C)OC(=O)C)/COC(=O)C)O</t>
  </si>
  <si>
    <t>(3E,7E)-2alpha,5alpha,10alphabeta,13alpha-Tetraacetoxy-20-hydroxy-3,8- secotaxa-3,7,11-trien-9-one</t>
  </si>
  <si>
    <t>C/C/1=C\C[C@@H](/C(=C/[C@@H]([C@@H]2C[C@@H](C(=C(C2(C)C)[C@H](C1=O)OC(=O)C)C)OC(=O)C)OC(=O)C)/CO)OC(=O)C</t>
  </si>
  <si>
    <t>(3E,7E)-2alpha,5alpha,10beta,13alpha,20-Pentaacetoxy-3,8-secotaxa-3,7,11-trien-9-one</t>
  </si>
  <si>
    <t>C30H40O11</t>
  </si>
  <si>
    <t>CC(O[C@@H](C/C=C1\C)/C(COC(C)=O)=C/[C@@H]([C@H]2C(C)(C([C@H](C1=O)OC(C)=O)=C([C@H](C2)OC(C)=O)C)C)OC(C)=O)=O</t>
  </si>
  <si>
    <t>(11alphaH)-3,8-Secotaxa-3,7,12(18)-triene-2alpha,6alpha,9beta-triol</t>
  </si>
  <si>
    <t>C20H32O3</t>
  </si>
  <si>
    <t>O[C@@H](/C=C(C)\C[C@@H](O)/C=C1\C)[C@H]2C(C)(C(C(CC2)=C)CC1O)C</t>
  </si>
  <si>
    <t>Taxusecone</t>
  </si>
  <si>
    <t>C[C@H](C(=O)C[C@H]1[C@H]([C@@H]2C(=C)[C@H](C[C@@H]([C@]2([C@H]([C@@H](C(=O)C1(C)C)OC(=O)C)OC(=O)C)C)OC(=O)C)O)OC(=O)C)O</t>
  </si>
  <si>
    <t>(4aS,11S,Z)-11-((S)-3,3-dimethyloxiran-2-yl)-7-hydroxy-2,2,6-trimethyl-10-(3-methylbut-2-en-1-yl)-8-(1-phenylvinyl)-2,3,4,4a,5,6,10,11-octahydro-6,10-methanobenzo[10]annulene-9,13(1H)-dione</t>
  </si>
  <si>
    <t>C35H44O4</t>
  </si>
  <si>
    <t>O=C1C2([C@H](/C=C3[C@H](CC1(C(O)=C(C2=O)C(C4=CC=CC=C4)=C)C)CCC(C)(C\3)C)[C@H]5C(C)(O5)C)C/C=C(C)\C</t>
  </si>
  <si>
    <t>(2S,7aS,13S,Z)-4-benzoyl-13-((S)-3,3-dimethyloxiran-2-yl)-2-(2-hydroxypropan-2-yl)-6,10,10-trimethyl-1,2,6,7,7a,8,9,10,11,13-decahydro-5H-6,13a-methanobenzo[5,6]cyclodeca[1,2-b]furan-5,14-dione</t>
  </si>
  <si>
    <t>C34H42O6</t>
  </si>
  <si>
    <t>O=C1C(C[C@H](O2)C(O)(C)C)([C@H](/C=C3[C@H](CC1(C4=O)C)CCC(C)(C\3)C)[C@H]5C(C)(O5)C)C2=C4C(C6=CC=CC=C6)=O</t>
  </si>
  <si>
    <t>(2aR,4S,4aS,6R,9S,11S,12S,12aR,12bS)-12b-acetoxy-9-(((2R,3S)-3-((tert-butoxycarbonyl)amino)-5,5-difluoro-2-hydroxypent-4-enoyl)oxy)-4-((dimethylcarbamoyl)oxy)-11-hydroxy-6-methoxy-4a,8,13,13-tetramethyl-5-oxo-2a,3,4,4a,5,6,9,10,11,12,12a,12b-dodecahydro-1H-7,11-methanocyclodeca[3,4]benzo[1,2-b]oxet-12-yl benzoate</t>
  </si>
  <si>
    <t>C43H56F2N2O15</t>
  </si>
  <si>
    <t>O[C@@H](C(O[C@H](C(C)=C1[C@H]2OC)C[C@]([C@@H](OC(C3=CC=CC=C3)=O)[C@]4([H])[C@@]5(CO[C@]5([H])C[C@H](OC(N(C)C)=O)[C@@]4(C)C2=O)OC(C)=O)(O)C1(C)C)=O)[C@H](/C=C(F)\F)NC(OC(C)(C)C)=O</t>
  </si>
  <si>
    <t>(2aR,4S,4aS,6R,9S,11S,12S,12aR,12bS)-12b-acetoxy-9-(((2R,3S)-3-((tert-butoxycarbonyl)amino)-5,5-difluoro-2-hydroxypent-4-enoyl)oxy)-11-hydroxy-6-methoxy-4-((methoxycarbonyl)oxy)-4a,8,13,13-tetramethyl-5-oxo-2a,3,4,4a,5,6,9,10,11,12,12a,12b-dodecahydro-1H-7,11-methanocyclodeca[3,4]benzo[1,2-b]oxet-12-yl benzoate</t>
  </si>
  <si>
    <t>C42H53F2NO16</t>
  </si>
  <si>
    <t>O[C@@H](C(O[C@H](C(C)=C1[C@H]2OC)C[C@]([C@@H](OC(C3=CC=CC=C3)=O)[C@]4([H])[C@@]5(CO[C@]5([H])C[C@H](OC(OC)=O)[C@@]4(C)C2=O)OC(C)=O)(O)C1(C)C)=O)[C@H](/C=C(F)\F)NC(OC(C)(C)C)=O</t>
  </si>
  <si>
    <t>(2aR,4S,4aS,6R,9S,11S,12S,12aR,12bS)-12b-acetoxy-9-(((2R,3S)-3-((tert-butoxycarbonyl)amino)-5,5-difluoro-2-hydroxypent-4-enoyl)oxy)-6-((dimethylcarbamoyl)oxy)-11-hydroxy-4-methoxy-4a,8,13,13-tetramethyl-5-oxo-2a,3,4,4a,5,6,9,10,11,12,12a,12b-dodecahydro-1H-7,11-methanocyclodeca[3,4]benzo[1,2-b]oxet-12-yl benzoate</t>
  </si>
  <si>
    <t>O[C@@H](C(O[C@H](C(C)=C1[C@H]2OC(N(C)C)=O)C[C@]([C@@H](OC(C3=CC=CC=C3)=O)[C@]4([H])[C@@]5(CO[C@]5([H])C[C@H](OC)[C@@]4(C)C2=O)OC(C)=O)(O)C1(C)C)=O)[C@H](/C=C(F)\F)NC(OC(C)(C)C)=O</t>
  </si>
  <si>
    <t>(2aR,4S,4aS,6R,9S,11S,12S,12aR,12bS)-12b-acetoxy-9-(((2R,3S)-3-((tert-butoxycarbonyl)amino)-5,5-difluoro-2-hydroxypent-4-enoyl)oxy)-11-hydroxy-4-methoxy-6-((methoxycarbonyl)oxy)-4a,8,13,13-tetramethyl-5-oxo-2a,3,4,4a,5,6,9,10,11,12,12a,12b-dodecahydro-1H-7,11-methanocyclodeca[3,4]benzo[1,2-b]oxet-12-yl benzoate</t>
  </si>
  <si>
    <t>O[C@@H](C(O[C@H](C(C)=C1[C@H]2OC(OC)=O)C[C@]([C@@H](OC(C3=CC=CC=C3)=O)[C@]4([H])[C@@]5(CO[C@]5([H])C[C@H](OC)[C@@]4(C)C2=O)OC(C)=O)(O)C1(C)C)=O)[C@H](/C=C(F)\F)NC(OC(C)(C)C)=O</t>
  </si>
  <si>
    <t>(2aR,4aR,6R,9S,11S,12S,12aR,12bS)-12b-acetoxy-9-(((2R,3S)-3-((tert-butoxycarbonyl)amino)-5,5-difluoro-2-hydroxypent-4-enoyl)oxy)-11-hydroxy-6-methoxy-4a,8,13,13-tetramethyl-5-oxo-2a,3,4,4a,5,6,9,10,11,12,12a,12b-dodecahydro-1H-7,11-methanocyclodeca[3,4]benzo[1,2-b]oxet-12-yl benzoate</t>
  </si>
  <si>
    <t>C40H51F2NO13</t>
  </si>
  <si>
    <t>O[C@@H](C(O[C@H](C(C)=C1[C@H]2OC)C[C@]([C@@H](OC(C3=CC=CC=C3)=O)[C@]4([H])[C@@]5(CO[C@]5([H])CC([H])[C@@]4(C)C2=O)OC(C)=O)(O)C1(C)C)=O)[C@H](/C=C(F)\F)NC(OC(C)(C)C)=O</t>
  </si>
  <si>
    <t>(2aR,4S,4aS,6R,9R,9aS,12aS,13S,13aR,13bS)-13b-acetoxy-9-(((2R,3S)-3-((tert-butoxycarbonyl)amino)-5,5-difluoro-2-hydroxypent-4-enoyl)oxy)-6-((dimethylcarbamoyl)oxy)-4-methoxy-4a,8,14,14-tetramethyl-5,11-dioxo-1,2a,3,4,4a,5,6,9,9a,13,13a,13b-dodecahydro-7,12a-methanooxeto[2'',3'':5',6']benzo[1',2':4,5]cyclodeca[1,2-d][1,3]dioxol-13-yl benzoate</t>
  </si>
  <si>
    <t>C44H54F2N2O17</t>
  </si>
  <si>
    <t>O[C@@H](C(O[C@H](C(C)=C1[C@H]2OC(N(C)C)=O)[C@H](O3)[C@]([C@@H](OC(C4=CC=CC=C4)=O)[C@]5([H])[C@@]6(CO[C@]6([H])C[C@H](OC)[C@@]5(C)C2=O)OC(C)=O)(OC3=O)C1(C)C)=O)[C@H](/C=C(F)\F)NC(OC(C)(C)C)=O</t>
  </si>
  <si>
    <t>taxadiene</t>
  </si>
  <si>
    <t>C20H32</t>
  </si>
  <si>
    <t>CC1=C(CC[C@@]2(C)[C@](C(C)=CCC2)([H])C3)C(C)(C)[C@@]3([H])CC1</t>
  </si>
  <si>
    <t>taxadiene-5α-ol</t>
  </si>
  <si>
    <t>C20H32O</t>
  </si>
  <si>
    <t>CC1=C(CC[C@@]2(C)[C@](C([C@@H](O)CC2)=C)([H])C3)C(C)(C)[C@@]3([H])CC1</t>
  </si>
  <si>
    <t>taxadiene-5α-yl acetate</t>
  </si>
  <si>
    <t>C22H34O2</t>
  </si>
  <si>
    <t>CC1=C(CC[C@@]2(C)[C@](C([C@@H](OC(C)=O)CC2)=C)([H])C3)C(C)(C)[C@@]3([H])CC1</t>
  </si>
  <si>
    <t>taxadiene-5α,10β,13α-triol 5-acetate</t>
  </si>
  <si>
    <t>CC1=C([C@@H](O)C[C@@]2(C)[C@](C([C@@H](OC(C)=O)CC2)=C)([H])C3)C(C)(C)[C@@]3([H])C[C@@H]1O</t>
  </si>
  <si>
    <t>taxadiene-5α,13α-diol 5-acetate</t>
  </si>
  <si>
    <t>C22H34O3</t>
  </si>
  <si>
    <t>CC1=C(CC[C@@]2(C)[C@](C([C@@H](OC(C)=O)CC2)=C)([H])C3)C(C)(C)[C@@]3([H])C[C@@H]1O</t>
  </si>
  <si>
    <t>(3S,4aS,6R,8S,11S,12aS)-9,12a,13,13-tetramethyl-4-methylene-1,2,3,4,4a,5,6,7,8,11,12,12a-dodecahydro-6,10-methanobenzo[10]annulene-3,8,11-triol</t>
  </si>
  <si>
    <t>CC1=C2[C@@H](O)C[C@]3([C@]([H])(C[C@]([H])(C[C@@H]1O)C2(C)C)C([C@H](CC3)O)=C)C</t>
  </si>
  <si>
    <t>(3S,4aS,6R,8S,11S,12aS)-8,11-dihydroxy-9,12a,13,13-tetramethyl-4-methylene-1,2,3,4,4a,5,6,7,8,11,12,12a-dodecahydro-6,10-methanobenzo[10]annulen-3-yl acetate</t>
  </si>
  <si>
    <t>CC1=C2[C@@H](O)C[C@]3([C@]([H])(C[C@]([H])(C[C@@H]1O)C2(C)C)C([C@H](CC3)OC(C)=O)=C)C</t>
  </si>
  <si>
    <t>(3S,4aS,6R,8S,11S,12aS)-3,11-dihydroxy-9,12a,13,13-tetramethyl-4-methylene-1,2,3,4,4a,5,6,7,8,11,12,12a-dodecahydro-6,10-methanobenzo[10]annulen-8-yl acetate</t>
  </si>
  <si>
    <t>CC1=C2[C@@H](O)C[C@]3([C@]([H])(C[C@]([H])(C[C@@H]1OC(C)=O)C2(C)C)C([C@H](CC3)O)=C)C</t>
  </si>
  <si>
    <t>(3S,4aS,6R,8S,11S,12aS)-11-hydroxy-9,12a,13,13-tetramethyl-4-methylene-1,2,3,4,4a,5,6,7,8,11,12,12a-dodecahydro-6,10-methanobenzo[10]annulene-3,8-diyl diacetate</t>
  </si>
  <si>
    <t>C24H36O5</t>
  </si>
  <si>
    <t>CC1=C2[C@@H](O)C[C@]3([C@]([H])(C[C@]([H])(C[C@@H]1OC(C)=O)C2(C)C)C([C@H](CC3)OC(C)=O)=C)C</t>
  </si>
  <si>
    <t>(1S,3S,4aR,5R,6R,8S,11R,12R,12aS)-5-(benzoyloxy)-9,12a,13,13-tetramethyl-4-methylene-1,2,3,4,4a,5,6,7,8,11,12,12a-dodecahydro-6,10-methanobenzo[10]annulene-1,3,8,11,12-pentayl pentaacetate</t>
  </si>
  <si>
    <t>CC1=C2[C@@H](OC(C)=O)[C@H](OC(C)=O)[C@]3([C@]([H])([C@H](OC(C4=CC=CC=C4)=O)[C@]([H])(C[C@@H]1OC(C)=O)C2(C)C)C([C@H](C[C@@H]3OC(C)=O)OC(C)=O)=C)C</t>
  </si>
  <si>
    <t>(2aR,4S,4aS,5R,6R,9S,11R,12R,12aR,12bS)-12-(benzoyloxy)-4a,8,13,13-tetramethyl-12b-(methyl(oxo)-l4-oxidaneyl)-2a,3,4,4a,5,6,9,10,11,12,12a,12b-dodecahydro-1H-7,11-methanocyclodeca[3,4]benzo[1,2-b]oxete-4,5,6,9-tetrayl tetraacetate</t>
  </si>
  <si>
    <t>C36H46O13</t>
  </si>
  <si>
    <t>CC1=C2[C@@H](OC(C)=O)[C@H](OC(C)=O)[C@]3([C@]([H])([C@H](OC(C4=CC=CC=C4)=O)[C@]([H])(C[C@@H]1OC(C)=O)C2(C)C)[C@@]5(O(C)=O)[C@@H](C[C@@H]3OC(C)=O)OC5)C</t>
  </si>
  <si>
    <t>(1'S,2R,3'S,4a'R,5'R,6'R,8'S,11'R,12'R,12a'S)-5'-(benzoyloxy)-9',12a',13',13'-tetramethyl-2',3',4a',5',6',7',8',11',12',12a'-decahydro-1'H-spiro[oxirane-2,4'-[6,10]methanobenzo[10]annulene]-1',3',8',11',12'-pentayl pentaacetate</t>
  </si>
  <si>
    <t>CC1=C2[C@@H](OC(C)=O)[C@H](OC(C)=O)[C@]3([C@]([H])([C@H](OC(C4=CC=CC=C4)=O)[C@]([H])(C[C@@H]1OC(C)=O)C2(C)C)[C@@]5(CO5)[C@H](C[C@@H]3OC(C)=O)OC(C)=O)C</t>
  </si>
  <si>
    <t>2-((3aS,4aS,8aS,10aS)-1,5,8a-trimethyl-3a,4,4a,7,8,8a,9,10-octahydrobenzo[f]azulen-10a(3H)-yl)propan-2-ol</t>
  </si>
  <si>
    <t>CC1=CCC[C@]2(C)[C@]1([H])C[C@@]3([H])[C@@](C(C)=CC3)(C(C)(O)C)CC2</t>
  </si>
  <si>
    <t>(4aS,6S,10R,12aS)-4,12a,13,13-tetramethyl-9-methylene-1,4a,5,6,7,8,9,11,12,12a-decahydro-6,10-methanobenzo[10]annulen-10(2H)-ol</t>
  </si>
  <si>
    <t>C=C1[C@]2(O)CC[C@]3([C@]([H])(C[C@]([H])(CC1)C2(C)C)C(C)=CCC3)C</t>
  </si>
  <si>
    <t>(4aS,11R,12aS)-1,4a-dimethyl-8-methylene-11-(prop-1-en-2-yl)-4,4a,5,6,8,9,10,11,12,12a-decahydrobenzo[10]annulen-7(3H)-one</t>
  </si>
  <si>
    <t>CC1=CCC[C@](CC2)(C)[C@]1([H])C[C@H](C(C)=C)CCC(C2=O)=C</t>
  </si>
  <si>
    <t>TM2</t>
  </si>
  <si>
    <t>C43H57NO14</t>
  </si>
  <si>
    <t>O[C@@H](C(O[C@H](C(C)=C1[C@H]2OC(C)=O)C[C@]([C@@H](OC(C3=CC=CC=C3)=O)[C@]4([H])[C@@]5(CO[C@@H]5C[C@H]6[C@]4(C6)C2=O)OC(C)=O)(O)C1(C)C)=O)[C@H](CC(C)C)NC(OC(C)(C)C)=O</t>
  </si>
  <si>
    <t>10-Deacetylyunnanxane</t>
  </si>
  <si>
    <r>
      <rPr>
        <sz val="11"/>
        <color rgb="FFFF0000"/>
        <rFont val="Times New Roman"/>
        <charset val="134"/>
      </rPr>
      <t>C</t>
    </r>
    <r>
      <rPr>
        <sz val="11"/>
        <color rgb="FFFF0000"/>
        <rFont val="Times New Roman"/>
        <charset val="134"/>
      </rPr>
      <t>29H44O8</t>
    </r>
  </si>
  <si>
    <t>CC1=C2[C@@H](O)C[C@]3(C)CC[C@H](OC(C)=O)C([C@H]3[C@H](OC(C)=O)[C@H]([C@@H](OC([C@@H]([C@@H](O)C)C)=O)C1)C2(C)C)=C</t>
  </si>
  <si>
    <t>2-Deacetoxydecinnamoyltaxinine J</t>
  </si>
  <si>
    <t>CC1=C2C(C(C3(C(CC(C2(C)C)CC1OC(=O)C)C(=C)C(CC3OC(=O)C)O)C)OC(=O)C)OC(=O)C</t>
  </si>
  <si>
    <t>9-Deacetyl-9-benzoyl-
10-debenzoyl-4β,20-epoxytaxchinin A</t>
  </si>
  <si>
    <r>
      <rPr>
        <sz val="11"/>
        <color rgb="FFFF0000"/>
        <rFont val="Times New Roman"/>
        <charset val="134"/>
      </rPr>
      <t>C</t>
    </r>
    <r>
      <rPr>
        <sz val="11"/>
        <color rgb="FFFF0000"/>
        <rFont val="Times New Roman"/>
        <charset val="134"/>
      </rPr>
      <t>31H40O11</t>
    </r>
  </si>
  <si>
    <t>CC1=C2[C@H]([C@@H]([C@@]3([C@H](C[C@@H]([C@@]4([C@H]3[C@@H]([C@@]2(C[C@@H]1O)C(C)(C)O)OC(=O)C)CO4)O)OC(=O)C)C)OC(=O)C5=CC=CC=C5)O</t>
  </si>
  <si>
    <t>7,13-Dideacetyl-9,10-didebenzoyltaxchinin C</t>
  </si>
  <si>
    <r>
      <rPr>
        <sz val="11"/>
        <color rgb="FFFF0000"/>
        <rFont val="Times New Roman"/>
        <charset val="134"/>
      </rPr>
      <t>C</t>
    </r>
    <r>
      <rPr>
        <sz val="11"/>
        <color rgb="FFFF0000"/>
        <rFont val="Times New Roman"/>
        <charset val="134"/>
      </rPr>
      <t>29H38O10</t>
    </r>
  </si>
  <si>
    <t>CC1=C2C(C(C3(C(CC4C(C3C(C2(CC1O)C(C)(C)O)OC(=O)C5=CC=CC=C5)(CO4)OC(=O)C)O)C)O)O</t>
  </si>
  <si>
    <t>Taxezopidine L</t>
  </si>
  <si>
    <t xml:space="preserve"> C39H46O15</t>
  </si>
  <si>
    <t>CC(=O)OC[C@@]12[C@H](C[C@@H](C(=C)[C@H]1[C@@H]([C@@H]3CC(=O)[C@@]4([C@@]([C@]3(CO4)C)([C@H]([C@@H]2OC(=O)C)OC(=O)C)O)C)OC(=O)C)OC(=O)/C=C/C5=CC=CC=C5)OC(=O)C</t>
  </si>
  <si>
    <t>13-O-Deacetyltaxumairol Z</t>
  </si>
  <si>
    <t>CC1=C2[C@H]([C@@H]([C@@]3([C@H](C[C@@H]4[C@]([C@H]3[C@@H]([C@@]2(C[C@@H]1O)C(C)(C)O)OC(=O)C5=CC=CC=C5)(CO4)OC(=O)C)O)COC(=O)C)O)O</t>
  </si>
  <si>
    <t>7-Xylosyl-10-deacetyltaxol B</t>
  </si>
  <si>
    <t>C48H59NO17</t>
  </si>
  <si>
    <t> C/C=C(\C)/C(=O)N[C@@H](C1=CC=CC=C1)[C@H](C(=O)O[C@H]2C[C@]3([C@H]([C@H]4[C@@]([C@H](C[C@@H]5[C@]4(CO5)OC(=O)C)O[C@H]6[C@@H]([C@H]([C@@H](CO6)O)O)O)(C(=O)[C@@H](C(=C2C)C3(C)C)O)C)OC(=O)C7=CC=CC=C7)O)O </t>
  </si>
  <si>
    <t>2,7-Dideacetoxytaxinine J</t>
  </si>
  <si>
    <r>
      <rPr>
        <sz val="11"/>
        <color rgb="FFFF0000"/>
        <rFont val="Times New Roman"/>
        <charset val="134"/>
      </rPr>
      <t>C</t>
    </r>
    <r>
      <rPr>
        <sz val="11"/>
        <color rgb="FFFF0000"/>
        <rFont val="Times New Roman"/>
        <charset val="134"/>
      </rPr>
      <t>35H44O8</t>
    </r>
  </si>
  <si>
    <t>CC1=C2[C@H]([C@@H]([C@@]3(CC[C@@H](C(=C)[C@H]3C[C@@H](C2(C)C)C[C@@H]1OC(=O)C)OC(=O)/C=C/C4=CC=CC=C4)C)OC(=O)C)OC(=O)C</t>
  </si>
  <si>
    <t>2-Deacetoxytaxinine B</t>
  </si>
  <si>
    <r>
      <rPr>
        <sz val="11"/>
        <color rgb="FFFF0000"/>
        <rFont val="Times New Roman"/>
        <charset val="134"/>
      </rPr>
      <t>C</t>
    </r>
    <r>
      <rPr>
        <sz val="11"/>
        <color rgb="FFFF0000"/>
        <rFont val="Times New Roman"/>
        <charset val="134"/>
      </rPr>
      <t>35H42O9</t>
    </r>
  </si>
  <si>
    <t>CC1=C2[C@@H](OC(C)=O)[C@H](OC(C)=O)[C@@]3(C)[C@@H](C([C@@H](OC(/C=C/C4=CC=CC=C4)=O)C[C@@H]3OC(C)=O)=C)C[C@H](CC1=O)C2(C)C</t>
  </si>
  <si>
    <t>7-epi-10-Deacetyl Baccatin III</t>
  </si>
  <si>
    <r>
      <rPr>
        <sz val="11"/>
        <color rgb="FFFF0000"/>
        <rFont val="Times New Roman"/>
        <charset val="134"/>
      </rPr>
      <t>C</t>
    </r>
    <r>
      <rPr>
        <sz val="11"/>
        <color rgb="FFFF0000"/>
        <rFont val="Times New Roman"/>
        <charset val="134"/>
      </rPr>
      <t>29H36O10</t>
    </r>
  </si>
  <si>
    <t>CC1=C2[C@@H](O)C([C@]3(C)[C@H](O)C[C@@H]4[C@](CO4)(OC(C)=O)[C@H]3[C@H](OC(C5=CC=CC=C5)=O)[C@@](C[C@@H]1O)(O)C2(C)C)=O</t>
  </si>
  <si>
    <t>3'-N-debenzoyltaxol</t>
  </si>
  <si>
    <t>C40H47NO13</t>
  </si>
  <si>
    <t>CC1=C2C(C)(C)[C@@]([C@@H](OC(C3=CC=CC=C3)=O)[C@@]([C@@](CO4)(OC(C)=O)[C@H]4C[C@@H]5O)([H])[C@]5(C)C([C@@H]2OC(C)=O)=O)(O)C[C@@H]1OC([C@H](O)[C@H](C6=CC=CC=C6)N)=O</t>
  </si>
  <si>
    <t>3'-N-debenzoyl-2'-deoxytaxol</t>
  </si>
  <si>
    <t>C40H47NO12</t>
  </si>
  <si>
    <t>CC1=C2C(C)(C)[C@@]([C@@H](OC(C3=CC=CC=C3)=O)[C@@]([C@@](CO4)(OC(C)=O)[C@H]4C[C@@H]5O)([H])[C@]5(C)C([C@@H]2OC(C)=O)=O)(O)C[C@@H]1OC(C[C@H](C6=CC=CC=C6)N)=O</t>
  </si>
  <si>
    <t>hypothetical intermediate</t>
  </si>
  <si>
    <t>C22H34O8</t>
  </si>
  <si>
    <t>CC1=C2C(C)(C)[C@@]([C@@H](O)[C@@](C([C@@H](OC(C)=O)C[C@@H]3O)=C)([H])[C@]3(C)[C@@H](O)[C@@H]2O)(O)C[C@@H]1O</t>
  </si>
  <si>
    <t>C22H32O9</t>
  </si>
  <si>
    <t>CC1=C2C(C)(C)[C@@]([C@@H](O)[C@@]([C@@](CO3)(OC(C)=O)[C@H]3C[C@@H]4O)([H])[C@]4(C)C([C@@H]2O)=O)(O)C[C@@H]1O</t>
  </si>
  <si>
    <t>10-deacetyl-baccatin III</t>
  </si>
  <si>
    <t>CC1=C2C(C)(C)[C@@]([C@@H](OC(C3=CC=CC=C3)=O)[C@@]([C@@](CO4)(OC(C)=O)[C@H]4C[C@@H]5O)([H])[C@]5(C)C([C@@H]2O)=O)(O)C[C@@H]1O</t>
  </si>
  <si>
    <t>taxadiene-5α,13α-diol</t>
  </si>
  <si>
    <t>C20H32O2</t>
  </si>
  <si>
    <t>CC1=C2C(C)(C)C(C[C@@](C([C@@H](O)CC3)=C)([H])[C@]3(C)CC2)C[C@@H]1O</t>
  </si>
  <si>
    <t>taxadiene-5α,10β-diol 5-acetate</t>
  </si>
  <si>
    <t>CC1=C2C(C)(C)C(C[C@@](C([C@@H](OC(C)=O)CC3)=C)([H])[C@]3(C)C[C@@H]2O)CC1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</si>
</sst>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32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1"/>
      <color rgb="FFFF0000"/>
      <name val="Times New Roman"/>
      <charset val="134"/>
    </font>
    <font>
      <sz val="11"/>
      <color theme="0"/>
      <name val="Times New Roman"/>
      <charset val="134"/>
    </font>
    <font>
      <sz val="11"/>
      <color theme="1"/>
      <name val="宋体"/>
      <charset val="134"/>
    </font>
    <font>
      <sz val="10.5"/>
      <color rgb="FF212121"/>
      <name val="Segoe UI"/>
      <charset val="134"/>
    </font>
    <font>
      <sz val="10.5"/>
      <color rgb="FF262626"/>
      <name val="Arial"/>
      <charset val="134"/>
    </font>
    <font>
      <sz val="11"/>
      <name val="Times New Roman"/>
      <charset val="134"/>
    </font>
    <font>
      <sz val="12"/>
      <color rgb="FFFF0000"/>
      <name val="Times New Roman"/>
      <charset val="134"/>
    </font>
    <font>
      <sz val="10.5"/>
      <color rgb="FFFF0000"/>
      <name val="Times New Roman"/>
      <charset val="134"/>
    </font>
    <font>
      <sz val="10"/>
      <color rgb="FFFF0000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4" applyNumberFormat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wrapText="1"/>
    </xf>
    <xf numFmtId="0" fontId="2" fillId="0" borderId="0" xfId="0" applyFont="1" applyAlignment="1"/>
    <xf numFmtId="0" fontId="1" fillId="2" borderId="0" xfId="0" applyFont="1" applyFill="1" applyAlignment="1"/>
    <xf numFmtId="0" fontId="2" fillId="2" borderId="0" xfId="0" applyFont="1" applyFill="1" applyAlignment="1"/>
    <xf numFmtId="0" fontId="3" fillId="0" borderId="0" xfId="0" applyFont="1" applyAlignment="1"/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5" fillId="0" borderId="0" xfId="0" applyFont="1" applyAlignment="1">
      <alignment wrapText="1"/>
    </xf>
    <xf numFmtId="0" fontId="7" fillId="2" borderId="0" xfId="0" applyFont="1" applyFill="1" applyAlignment="1"/>
    <xf numFmtId="176" fontId="1" fillId="0" borderId="0" xfId="0" applyNumberFormat="1" applyFont="1" applyAlignment="1"/>
    <xf numFmtId="0" fontId="1" fillId="3" borderId="0" xfId="0" applyFont="1" applyFill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/>
    </xf>
    <xf numFmtId="0" fontId="2" fillId="0" borderId="0" xfId="0" applyFont="1">
      <alignment vertical="center"/>
    </xf>
    <xf numFmtId="0" fontId="8" fillId="0" borderId="0" xfId="0" applyFont="1" applyAlignment="1"/>
    <xf numFmtId="0" fontId="2" fillId="0" borderId="0" xfId="0" applyFont="1" applyAlignment="1">
      <alignment horizontal="left" vertical="center" wrapText="1"/>
    </xf>
    <xf numFmtId="0" fontId="9" fillId="0" borderId="0" xfId="0" applyFont="1" applyAlignment="1"/>
    <xf numFmtId="0" fontId="10" fillId="0" borderId="0" xfId="0" applyFont="1">
      <alignment vertical="center"/>
    </xf>
    <xf numFmtId="176" fontId="2" fillId="0" borderId="0" xfId="0" applyNumberFormat="1" applyFont="1" applyAlignment="1">
      <alignment horizontal="right"/>
    </xf>
    <xf numFmtId="0" fontId="7" fillId="3" borderId="0" xfId="0" applyFont="1" applyFill="1" applyAlignment="1"/>
    <xf numFmtId="0" fontId="7" fillId="3" borderId="0" xfId="0" applyFont="1" applyFill="1" applyAlignment="1">
      <alignment horizontal="right"/>
    </xf>
    <xf numFmtId="0" fontId="7" fillId="0" borderId="0" xfId="0" applyFont="1" applyAlignment="1"/>
    <xf numFmtId="0" fontId="7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37"/>
  <sheetViews>
    <sheetView tabSelected="1" topLeftCell="A599" workbookViewId="0">
      <selection activeCell="B621" sqref="B621"/>
    </sheetView>
  </sheetViews>
  <sheetFormatPr defaultColWidth="9" defaultRowHeight="13.8"/>
  <cols>
    <col min="1" max="1" width="8.7962962962963" style="1"/>
    <col min="2" max="2" width="19.4537037037037" style="1" customWidth="1"/>
    <col min="3" max="3" width="14.4537037037037" style="1" customWidth="1"/>
    <col min="4" max="4" width="16.1018518518519" style="1" customWidth="1"/>
    <col min="5" max="5" width="15.3518518518519" style="1" customWidth="1"/>
    <col min="6" max="6" width="13.7962962962963" style="1" customWidth="1"/>
    <col min="7" max="7" width="8.2037037037037" style="1" customWidth="1"/>
    <col min="8" max="8" width="109.101851851852" style="1" customWidth="1"/>
    <col min="9" max="10" width="9.35185185185185" style="1"/>
    <col min="11" max="11" width="55.8981481481481" style="2" customWidth="1"/>
  </cols>
  <sheetData>
    <row r="1" ht="14.4" spans="2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K1" s="7" t="s">
        <v>7</v>
      </c>
    </row>
    <row r="2" spans="1:8">
      <c r="A2" s="1">
        <v>1</v>
      </c>
      <c r="B2" s="1" t="s">
        <v>8</v>
      </c>
      <c r="C2" s="1" t="s">
        <v>9</v>
      </c>
      <c r="D2" s="1">
        <v>336.2301</v>
      </c>
      <c r="E2" s="1">
        <f>D2+1.00728</f>
        <v>337.23738</v>
      </c>
      <c r="F2" s="1">
        <f>D2+18.03383</f>
        <v>354.26393</v>
      </c>
      <c r="G2" s="1">
        <f>D2+22.98922</f>
        <v>359.21932</v>
      </c>
      <c r="H2" s="1" t="s">
        <v>10</v>
      </c>
    </row>
    <row r="3" spans="1:8">
      <c r="A3" s="1">
        <v>2</v>
      </c>
      <c r="B3" s="1" t="s">
        <v>11</v>
      </c>
      <c r="C3" s="1" t="s">
        <v>12</v>
      </c>
      <c r="D3" s="1">
        <v>420.2512</v>
      </c>
      <c r="E3" s="1">
        <f t="shared" ref="E3:E66" si="0">D3+1.00728</f>
        <v>421.25848</v>
      </c>
      <c r="F3" s="1">
        <f t="shared" ref="F3:F66" si="1">D3+18.03383</f>
        <v>438.28503</v>
      </c>
      <c r="G3" s="1">
        <f t="shared" ref="G3:G66" si="2">D3+22.98922</f>
        <v>443.24042</v>
      </c>
      <c r="H3" s="1" t="s">
        <v>13</v>
      </c>
    </row>
    <row r="4" spans="1:8">
      <c r="A4" s="1">
        <v>3</v>
      </c>
      <c r="B4" s="1" t="s">
        <v>14</v>
      </c>
      <c r="C4" s="1" t="s">
        <v>15</v>
      </c>
      <c r="D4" s="1">
        <v>420.2512</v>
      </c>
      <c r="E4" s="1">
        <f t="shared" si="0"/>
        <v>421.25848</v>
      </c>
      <c r="F4" s="1">
        <f t="shared" si="1"/>
        <v>438.28503</v>
      </c>
      <c r="G4" s="1">
        <f t="shared" si="2"/>
        <v>443.24042</v>
      </c>
      <c r="H4" s="1" t="s">
        <v>16</v>
      </c>
    </row>
    <row r="5" spans="1:8">
      <c r="A5" s="1">
        <v>4</v>
      </c>
      <c r="B5" s="1" t="s">
        <v>17</v>
      </c>
      <c r="C5" s="1" t="s">
        <v>15</v>
      </c>
      <c r="D5" s="1">
        <v>420.2512</v>
      </c>
      <c r="E5" s="1">
        <f t="shared" si="0"/>
        <v>421.25848</v>
      </c>
      <c r="F5" s="1">
        <f t="shared" si="1"/>
        <v>438.28503</v>
      </c>
      <c r="G5" s="1">
        <f t="shared" si="2"/>
        <v>443.24042</v>
      </c>
      <c r="H5" s="1" t="s">
        <v>18</v>
      </c>
    </row>
    <row r="6" spans="1:8">
      <c r="A6" s="1">
        <v>5</v>
      </c>
      <c r="B6" s="1" t="s">
        <v>19</v>
      </c>
      <c r="C6" s="1" t="s">
        <v>15</v>
      </c>
      <c r="D6" s="1">
        <v>420.2512</v>
      </c>
      <c r="E6" s="1">
        <f t="shared" si="0"/>
        <v>421.25848</v>
      </c>
      <c r="F6" s="1">
        <f t="shared" si="1"/>
        <v>438.28503</v>
      </c>
      <c r="G6" s="1">
        <f t="shared" si="2"/>
        <v>443.24042</v>
      </c>
      <c r="H6" s="1" t="s">
        <v>20</v>
      </c>
    </row>
    <row r="7" spans="1:8">
      <c r="A7" s="1">
        <v>6</v>
      </c>
      <c r="B7" s="1" t="s">
        <v>21</v>
      </c>
      <c r="C7" s="1" t="s">
        <v>22</v>
      </c>
      <c r="D7" s="1">
        <v>462.2618</v>
      </c>
      <c r="E7" s="1">
        <f t="shared" si="0"/>
        <v>463.26908</v>
      </c>
      <c r="F7" s="1">
        <f t="shared" si="1"/>
        <v>480.29563</v>
      </c>
      <c r="G7" s="1">
        <f t="shared" si="2"/>
        <v>485.25102</v>
      </c>
      <c r="H7" s="1" t="s">
        <v>23</v>
      </c>
    </row>
    <row r="8" spans="1:11">
      <c r="A8" s="3">
        <v>7</v>
      </c>
      <c r="B8" s="3" t="s">
        <v>24</v>
      </c>
      <c r="C8" s="3" t="s">
        <v>25</v>
      </c>
      <c r="D8" s="3">
        <v>504.2723</v>
      </c>
      <c r="E8" s="3">
        <f t="shared" si="0"/>
        <v>505.27958</v>
      </c>
      <c r="F8" s="3">
        <f t="shared" si="1"/>
        <v>522.30613</v>
      </c>
      <c r="G8" s="3">
        <f t="shared" si="2"/>
        <v>527.26152</v>
      </c>
      <c r="H8" s="3" t="s">
        <v>26</v>
      </c>
      <c r="I8" s="3"/>
      <c r="J8" s="3"/>
      <c r="K8" s="8"/>
    </row>
    <row r="9" spans="1:8">
      <c r="A9" s="1">
        <v>8</v>
      </c>
      <c r="B9" s="1" t="s">
        <v>27</v>
      </c>
      <c r="C9" s="1" t="s">
        <v>28</v>
      </c>
      <c r="D9" s="4">
        <v>566.3091</v>
      </c>
      <c r="E9" s="4">
        <f t="shared" si="0"/>
        <v>567.31638</v>
      </c>
      <c r="F9" s="4">
        <f t="shared" si="1"/>
        <v>584.34293</v>
      </c>
      <c r="G9" s="1">
        <f t="shared" si="2"/>
        <v>589.29832</v>
      </c>
      <c r="H9" s="4" t="s">
        <v>29</v>
      </c>
    </row>
    <row r="10" ht="14.4" spans="1:9">
      <c r="A10" s="1">
        <v>9</v>
      </c>
      <c r="B10" s="1" t="s">
        <v>30</v>
      </c>
      <c r="C10" s="1" t="s">
        <v>31</v>
      </c>
      <c r="D10" s="4">
        <v>594.2676</v>
      </c>
      <c r="E10" s="4">
        <f t="shared" si="0"/>
        <v>595.27488</v>
      </c>
      <c r="F10" s="4">
        <f t="shared" si="1"/>
        <v>612.30143</v>
      </c>
      <c r="G10" s="1">
        <f t="shared" si="2"/>
        <v>617.25682</v>
      </c>
      <c r="H10" s="4" t="s">
        <v>32</v>
      </c>
      <c r="I10" s="9"/>
    </row>
    <row r="11" spans="1:8">
      <c r="A11" s="1">
        <v>10</v>
      </c>
      <c r="B11" s="1" t="s">
        <v>33</v>
      </c>
      <c r="C11" s="1" t="s">
        <v>34</v>
      </c>
      <c r="D11" s="1">
        <v>562.2778</v>
      </c>
      <c r="E11" s="1">
        <f t="shared" si="0"/>
        <v>563.28508</v>
      </c>
      <c r="F11" s="1">
        <f t="shared" si="1"/>
        <v>580.31163</v>
      </c>
      <c r="G11" s="1">
        <f t="shared" si="2"/>
        <v>585.26702</v>
      </c>
      <c r="H11" s="1" t="s">
        <v>35</v>
      </c>
    </row>
    <row r="12" spans="1:8">
      <c r="A12" s="1">
        <v>11</v>
      </c>
      <c r="B12" s="1" t="s">
        <v>36</v>
      </c>
      <c r="C12" s="1" t="s">
        <v>37</v>
      </c>
      <c r="D12" s="4">
        <v>594.2676</v>
      </c>
      <c r="E12" s="4">
        <f t="shared" si="0"/>
        <v>595.27488</v>
      </c>
      <c r="F12" s="4">
        <f t="shared" si="1"/>
        <v>612.30143</v>
      </c>
      <c r="G12" s="1">
        <f t="shared" si="2"/>
        <v>617.25682</v>
      </c>
      <c r="H12" s="1" t="s">
        <v>38</v>
      </c>
    </row>
    <row r="13" spans="1:8">
      <c r="A13" s="1">
        <v>12</v>
      </c>
      <c r="B13" s="1" t="s">
        <v>39</v>
      </c>
      <c r="C13" s="1" t="s">
        <v>40</v>
      </c>
      <c r="D13" s="1">
        <v>436.2461</v>
      </c>
      <c r="E13" s="1">
        <f t="shared" si="0"/>
        <v>437.25338</v>
      </c>
      <c r="F13" s="1">
        <f t="shared" si="1"/>
        <v>454.27993</v>
      </c>
      <c r="G13" s="1">
        <f t="shared" si="2"/>
        <v>459.23532</v>
      </c>
      <c r="H13" s="1" t="s">
        <v>41</v>
      </c>
    </row>
    <row r="14" spans="1:8">
      <c r="A14" s="1">
        <v>13</v>
      </c>
      <c r="B14" s="1" t="s">
        <v>42</v>
      </c>
      <c r="C14" s="1" t="s">
        <v>43</v>
      </c>
      <c r="D14" s="1">
        <v>478.2567</v>
      </c>
      <c r="E14" s="1">
        <f t="shared" si="0"/>
        <v>479.26398</v>
      </c>
      <c r="F14" s="1">
        <f t="shared" si="1"/>
        <v>496.29053</v>
      </c>
      <c r="G14" s="1">
        <f t="shared" si="2"/>
        <v>501.24592</v>
      </c>
      <c r="H14" s="1" t="s">
        <v>44</v>
      </c>
    </row>
    <row r="15" spans="1:8">
      <c r="A15" s="1">
        <v>14</v>
      </c>
      <c r="B15" s="1" t="s">
        <v>45</v>
      </c>
      <c r="C15" s="1" t="s">
        <v>43</v>
      </c>
      <c r="D15" s="1">
        <v>478.2567</v>
      </c>
      <c r="E15" s="1">
        <f t="shared" si="0"/>
        <v>479.26398</v>
      </c>
      <c r="F15" s="1">
        <f t="shared" si="1"/>
        <v>496.29053</v>
      </c>
      <c r="G15" s="1">
        <f t="shared" si="2"/>
        <v>501.24592</v>
      </c>
      <c r="H15" s="1" t="s">
        <v>46</v>
      </c>
    </row>
    <row r="16" spans="1:8">
      <c r="A16" s="1">
        <v>15</v>
      </c>
      <c r="B16" s="1" t="s">
        <v>47</v>
      </c>
      <c r="C16" s="1" t="s">
        <v>43</v>
      </c>
      <c r="D16" s="1">
        <v>478.2567</v>
      </c>
      <c r="E16" s="1">
        <f t="shared" si="0"/>
        <v>479.26398</v>
      </c>
      <c r="F16" s="1">
        <f t="shared" si="1"/>
        <v>496.29053</v>
      </c>
      <c r="G16" s="1">
        <f t="shared" si="2"/>
        <v>501.24592</v>
      </c>
      <c r="H16" s="1" t="s">
        <v>48</v>
      </c>
    </row>
    <row r="17" spans="1:8">
      <c r="A17" s="1">
        <v>16</v>
      </c>
      <c r="B17" s="1" t="s">
        <v>49</v>
      </c>
      <c r="C17" s="1" t="s">
        <v>50</v>
      </c>
      <c r="D17" s="1">
        <v>520.2672</v>
      </c>
      <c r="E17" s="1">
        <f t="shared" si="0"/>
        <v>521.27448</v>
      </c>
      <c r="F17" s="1">
        <f t="shared" si="1"/>
        <v>538.30103</v>
      </c>
      <c r="G17" s="1">
        <f t="shared" si="2"/>
        <v>543.25642</v>
      </c>
      <c r="H17" s="1" t="s">
        <v>51</v>
      </c>
    </row>
    <row r="18" spans="1:8">
      <c r="A18" s="1">
        <v>17</v>
      </c>
      <c r="B18" s="1" t="s">
        <v>52</v>
      </c>
      <c r="C18" s="1" t="s">
        <v>53</v>
      </c>
      <c r="D18" s="1">
        <v>640.3095</v>
      </c>
      <c r="E18" s="1">
        <f t="shared" si="0"/>
        <v>641.31678</v>
      </c>
      <c r="F18" s="1">
        <f t="shared" si="1"/>
        <v>658.34333</v>
      </c>
      <c r="G18" s="1">
        <f t="shared" si="2"/>
        <v>663.29872</v>
      </c>
      <c r="H18" s="4" t="s">
        <v>54</v>
      </c>
    </row>
    <row r="19" spans="1:8">
      <c r="A19" s="1">
        <v>18</v>
      </c>
      <c r="B19" s="1" t="s">
        <v>55</v>
      </c>
      <c r="C19" s="1" t="s">
        <v>56</v>
      </c>
      <c r="D19" s="1">
        <v>410.2305</v>
      </c>
      <c r="E19" s="1">
        <f t="shared" si="0"/>
        <v>411.23778</v>
      </c>
      <c r="F19" s="1">
        <f t="shared" si="1"/>
        <v>428.26433</v>
      </c>
      <c r="G19" s="1">
        <f t="shared" si="2"/>
        <v>433.21972</v>
      </c>
      <c r="H19" s="1" t="s">
        <v>57</v>
      </c>
    </row>
    <row r="20" spans="1:8">
      <c r="A20" s="1">
        <v>19</v>
      </c>
      <c r="B20" s="1" t="s">
        <v>58</v>
      </c>
      <c r="C20" s="1" t="s">
        <v>34</v>
      </c>
      <c r="D20" s="1">
        <v>562.2778</v>
      </c>
      <c r="E20" s="1">
        <f t="shared" si="0"/>
        <v>563.28508</v>
      </c>
      <c r="F20" s="1">
        <f t="shared" si="1"/>
        <v>580.31163</v>
      </c>
      <c r="G20" s="1">
        <f t="shared" si="2"/>
        <v>585.26702</v>
      </c>
      <c r="H20" s="1" t="s">
        <v>59</v>
      </c>
    </row>
    <row r="21" spans="1:8">
      <c r="A21" s="1">
        <v>20</v>
      </c>
      <c r="B21" s="1" t="s">
        <v>60</v>
      </c>
      <c r="C21" s="1" t="s">
        <v>61</v>
      </c>
      <c r="D21" s="4">
        <v>536.2621</v>
      </c>
      <c r="E21" s="4">
        <f t="shared" si="0"/>
        <v>537.26938</v>
      </c>
      <c r="F21" s="4">
        <f t="shared" si="1"/>
        <v>554.29593</v>
      </c>
      <c r="G21" s="1">
        <f t="shared" si="2"/>
        <v>559.25132</v>
      </c>
      <c r="H21" s="1" t="s">
        <v>62</v>
      </c>
    </row>
    <row r="22" spans="1:8">
      <c r="A22" s="1">
        <v>21</v>
      </c>
      <c r="B22" s="1" t="s">
        <v>63</v>
      </c>
      <c r="C22" s="1" t="s">
        <v>64</v>
      </c>
      <c r="D22" s="1">
        <v>494.2516</v>
      </c>
      <c r="E22" s="1">
        <f t="shared" si="0"/>
        <v>495.25888</v>
      </c>
      <c r="F22" s="1">
        <f t="shared" si="1"/>
        <v>512.28543</v>
      </c>
      <c r="G22" s="1">
        <f t="shared" si="2"/>
        <v>517.24082</v>
      </c>
      <c r="H22" s="1" t="s">
        <v>65</v>
      </c>
    </row>
    <row r="23" spans="1:8">
      <c r="A23" s="1">
        <v>22</v>
      </c>
      <c r="B23" s="1" t="s">
        <v>66</v>
      </c>
      <c r="C23" s="1" t="s">
        <v>67</v>
      </c>
      <c r="D23" s="1">
        <v>536.2621</v>
      </c>
      <c r="E23" s="1">
        <f t="shared" si="0"/>
        <v>537.26938</v>
      </c>
      <c r="F23" s="1">
        <f t="shared" si="1"/>
        <v>554.29593</v>
      </c>
      <c r="G23" s="1">
        <f t="shared" si="2"/>
        <v>559.25132</v>
      </c>
      <c r="H23" s="1" t="s">
        <v>68</v>
      </c>
    </row>
    <row r="24" spans="1:8">
      <c r="A24" s="1">
        <v>23</v>
      </c>
      <c r="B24" s="1" t="s">
        <v>69</v>
      </c>
      <c r="C24" s="1" t="s">
        <v>61</v>
      </c>
      <c r="D24" s="1">
        <v>536.2622</v>
      </c>
      <c r="E24" s="1">
        <f t="shared" si="0"/>
        <v>537.26948</v>
      </c>
      <c r="F24" s="1">
        <f t="shared" si="1"/>
        <v>554.29603</v>
      </c>
      <c r="G24" s="1">
        <f t="shared" si="2"/>
        <v>559.25142</v>
      </c>
      <c r="H24" s="1" t="s">
        <v>70</v>
      </c>
    </row>
    <row r="25" spans="1:8">
      <c r="A25" s="1">
        <v>24</v>
      </c>
      <c r="B25" s="1" t="s">
        <v>71</v>
      </c>
      <c r="C25" s="1" t="s">
        <v>61</v>
      </c>
      <c r="D25" s="1">
        <v>536.2622</v>
      </c>
      <c r="E25" s="1">
        <f t="shared" si="0"/>
        <v>537.26948</v>
      </c>
      <c r="F25" s="1">
        <f t="shared" si="1"/>
        <v>554.29603</v>
      </c>
      <c r="G25" s="1">
        <f t="shared" si="2"/>
        <v>559.25142</v>
      </c>
      <c r="H25" s="1" t="s">
        <v>72</v>
      </c>
    </row>
    <row r="26" spans="1:11">
      <c r="A26" s="3">
        <v>25</v>
      </c>
      <c r="B26" s="3" t="s">
        <v>73</v>
      </c>
      <c r="C26" s="3" t="s">
        <v>74</v>
      </c>
      <c r="D26" s="5">
        <v>578.2727</v>
      </c>
      <c r="E26" s="5">
        <f t="shared" si="0"/>
        <v>579.27998</v>
      </c>
      <c r="F26" s="5">
        <f t="shared" si="1"/>
        <v>596.30653</v>
      </c>
      <c r="G26" s="3">
        <f t="shared" si="2"/>
        <v>601.26192</v>
      </c>
      <c r="H26" s="5" t="s">
        <v>75</v>
      </c>
      <c r="I26" s="3"/>
      <c r="J26" s="3"/>
      <c r="K26" s="8"/>
    </row>
    <row r="27" spans="1:8">
      <c r="A27" s="1">
        <v>26</v>
      </c>
      <c r="B27" s="1" t="s">
        <v>76</v>
      </c>
      <c r="C27" s="1" t="s">
        <v>77</v>
      </c>
      <c r="D27" s="1">
        <v>620.2833</v>
      </c>
      <c r="E27" s="1">
        <f t="shared" si="0"/>
        <v>621.29058</v>
      </c>
      <c r="F27" s="1">
        <f t="shared" si="1"/>
        <v>638.31713</v>
      </c>
      <c r="G27" s="1">
        <f t="shared" si="2"/>
        <v>643.27252</v>
      </c>
      <c r="H27" s="1" t="s">
        <v>78</v>
      </c>
    </row>
    <row r="28" spans="1:8">
      <c r="A28" s="1">
        <v>27</v>
      </c>
      <c r="B28" s="1" t="s">
        <v>79</v>
      </c>
      <c r="C28" s="1" t="s">
        <v>61</v>
      </c>
      <c r="D28" s="1">
        <v>536.2621</v>
      </c>
      <c r="E28" s="1">
        <f t="shared" si="0"/>
        <v>537.26938</v>
      </c>
      <c r="F28" s="1">
        <f t="shared" si="1"/>
        <v>554.29593</v>
      </c>
      <c r="G28" s="1">
        <f t="shared" si="2"/>
        <v>559.25132</v>
      </c>
      <c r="H28" s="1" t="s">
        <v>80</v>
      </c>
    </row>
    <row r="29" spans="1:8">
      <c r="A29" s="1">
        <v>28</v>
      </c>
      <c r="B29" s="1" t="s">
        <v>81</v>
      </c>
      <c r="C29" s="1" t="s">
        <v>64</v>
      </c>
      <c r="D29" s="1">
        <v>494.2516</v>
      </c>
      <c r="E29" s="1">
        <f t="shared" si="0"/>
        <v>495.25888</v>
      </c>
      <c r="F29" s="1">
        <f t="shared" si="1"/>
        <v>512.28543</v>
      </c>
      <c r="G29" s="1">
        <f t="shared" si="2"/>
        <v>517.24082</v>
      </c>
      <c r="H29" s="1" t="s">
        <v>82</v>
      </c>
    </row>
    <row r="30" spans="1:8">
      <c r="A30" s="1">
        <v>29</v>
      </c>
      <c r="B30" s="1" t="s">
        <v>83</v>
      </c>
      <c r="C30" s="1" t="s">
        <v>50</v>
      </c>
      <c r="D30" s="1">
        <v>520.2672</v>
      </c>
      <c r="E30" s="1">
        <f t="shared" si="0"/>
        <v>521.27448</v>
      </c>
      <c r="F30" s="1">
        <f t="shared" si="1"/>
        <v>538.30103</v>
      </c>
      <c r="G30" s="1">
        <f t="shared" si="2"/>
        <v>543.25642</v>
      </c>
      <c r="H30" s="1" t="s">
        <v>84</v>
      </c>
    </row>
    <row r="31" spans="1:8">
      <c r="A31" s="1">
        <v>30</v>
      </c>
      <c r="B31" s="1" t="s">
        <v>85</v>
      </c>
      <c r="C31" s="1" t="s">
        <v>86</v>
      </c>
      <c r="D31" s="1">
        <v>552.2571</v>
      </c>
      <c r="E31" s="1">
        <f t="shared" si="0"/>
        <v>553.26438</v>
      </c>
      <c r="F31" s="1">
        <f t="shared" si="1"/>
        <v>570.29093</v>
      </c>
      <c r="G31" s="1">
        <f t="shared" si="2"/>
        <v>575.24632</v>
      </c>
      <c r="H31" s="1" t="s">
        <v>87</v>
      </c>
    </row>
    <row r="32" spans="1:8">
      <c r="A32" s="1">
        <v>31</v>
      </c>
      <c r="B32" s="1" t="s">
        <v>88</v>
      </c>
      <c r="C32" s="1" t="s">
        <v>89</v>
      </c>
      <c r="D32" s="1">
        <v>598.2778</v>
      </c>
      <c r="E32" s="1">
        <f t="shared" si="0"/>
        <v>599.28508</v>
      </c>
      <c r="F32" s="1">
        <f t="shared" si="1"/>
        <v>616.31163</v>
      </c>
      <c r="G32" s="1">
        <f t="shared" si="2"/>
        <v>621.26702</v>
      </c>
      <c r="H32" s="1" t="s">
        <v>90</v>
      </c>
    </row>
    <row r="33" spans="1:8">
      <c r="A33" s="1">
        <v>32</v>
      </c>
      <c r="B33" s="1" t="s">
        <v>91</v>
      </c>
      <c r="C33" s="1" t="s">
        <v>89</v>
      </c>
      <c r="D33" s="1">
        <v>598.2778</v>
      </c>
      <c r="E33" s="1">
        <f t="shared" si="0"/>
        <v>599.28508</v>
      </c>
      <c r="F33" s="1">
        <f t="shared" si="1"/>
        <v>616.31163</v>
      </c>
      <c r="G33" s="1">
        <f t="shared" si="2"/>
        <v>621.26702</v>
      </c>
      <c r="H33" s="1" t="s">
        <v>92</v>
      </c>
    </row>
    <row r="34" spans="1:8">
      <c r="A34" s="1">
        <v>33</v>
      </c>
      <c r="B34" s="1" t="s">
        <v>93</v>
      </c>
      <c r="C34" s="1" t="s">
        <v>94</v>
      </c>
      <c r="D34" s="1">
        <v>650.3091</v>
      </c>
      <c r="E34" s="1">
        <f t="shared" si="0"/>
        <v>651.31638</v>
      </c>
      <c r="F34" s="1">
        <f t="shared" si="1"/>
        <v>668.34293</v>
      </c>
      <c r="G34" s="1">
        <f t="shared" si="2"/>
        <v>673.29832</v>
      </c>
      <c r="H34" s="1" t="s">
        <v>95</v>
      </c>
    </row>
    <row r="35" spans="1:8">
      <c r="A35" s="1">
        <v>34</v>
      </c>
      <c r="B35" s="1" t="s">
        <v>96</v>
      </c>
      <c r="C35" s="1" t="s">
        <v>97</v>
      </c>
      <c r="D35" s="1">
        <v>402.2406</v>
      </c>
      <c r="E35" s="1">
        <f t="shared" si="0"/>
        <v>403.24788</v>
      </c>
      <c r="F35" s="1">
        <f t="shared" si="1"/>
        <v>420.27443</v>
      </c>
      <c r="G35" s="1">
        <f t="shared" si="2"/>
        <v>425.22982</v>
      </c>
      <c r="H35" s="1" t="s">
        <v>98</v>
      </c>
    </row>
    <row r="36" spans="1:8">
      <c r="A36" s="1">
        <v>35</v>
      </c>
      <c r="B36" s="1" t="s">
        <v>99</v>
      </c>
      <c r="C36" s="1" t="s">
        <v>100</v>
      </c>
      <c r="D36" s="1">
        <v>392.2199</v>
      </c>
      <c r="E36" s="1">
        <f t="shared" si="0"/>
        <v>393.22718</v>
      </c>
      <c r="F36" s="1">
        <f t="shared" si="1"/>
        <v>410.25373</v>
      </c>
      <c r="G36" s="1">
        <f t="shared" si="2"/>
        <v>415.20912</v>
      </c>
      <c r="H36" s="1" t="s">
        <v>101</v>
      </c>
    </row>
    <row r="37" spans="1:8">
      <c r="A37" s="1">
        <v>36</v>
      </c>
      <c r="B37" s="1" t="s">
        <v>102</v>
      </c>
      <c r="C37" s="1" t="s">
        <v>100</v>
      </c>
      <c r="D37" s="1">
        <v>392.2199</v>
      </c>
      <c r="E37" s="1">
        <f t="shared" si="0"/>
        <v>393.22718</v>
      </c>
      <c r="F37" s="1">
        <f t="shared" si="1"/>
        <v>410.25373</v>
      </c>
      <c r="G37" s="1">
        <f t="shared" si="2"/>
        <v>415.20912</v>
      </c>
      <c r="H37" s="1" t="s">
        <v>103</v>
      </c>
    </row>
    <row r="38" spans="1:8">
      <c r="A38" s="1">
        <v>37</v>
      </c>
      <c r="B38" s="1" t="s">
        <v>104</v>
      </c>
      <c r="C38" s="1" t="s">
        <v>105</v>
      </c>
      <c r="D38" s="1">
        <v>434.2305</v>
      </c>
      <c r="E38" s="1">
        <f t="shared" si="0"/>
        <v>435.23778</v>
      </c>
      <c r="F38" s="1">
        <f t="shared" si="1"/>
        <v>452.26433</v>
      </c>
      <c r="G38" s="1">
        <f t="shared" si="2"/>
        <v>457.21972</v>
      </c>
      <c r="H38" s="1" t="s">
        <v>106</v>
      </c>
    </row>
    <row r="39" spans="1:8">
      <c r="A39" s="1">
        <v>38</v>
      </c>
      <c r="B39" s="1" t="s">
        <v>107</v>
      </c>
      <c r="C39" s="1" t="s">
        <v>108</v>
      </c>
      <c r="D39" s="1">
        <v>476.241</v>
      </c>
      <c r="E39" s="1">
        <f t="shared" si="0"/>
        <v>477.24828</v>
      </c>
      <c r="F39" s="1">
        <f t="shared" si="1"/>
        <v>494.27483</v>
      </c>
      <c r="G39" s="1">
        <f t="shared" si="2"/>
        <v>499.23022</v>
      </c>
      <c r="H39" s="1" t="s">
        <v>109</v>
      </c>
    </row>
    <row r="40" spans="1:8">
      <c r="A40" s="1">
        <v>39</v>
      </c>
      <c r="B40" s="1" t="s">
        <v>110</v>
      </c>
      <c r="C40" s="1" t="s">
        <v>105</v>
      </c>
      <c r="D40" s="1">
        <v>434.2305</v>
      </c>
      <c r="E40" s="1">
        <f t="shared" si="0"/>
        <v>435.23778</v>
      </c>
      <c r="F40" s="1">
        <f t="shared" si="1"/>
        <v>452.26433</v>
      </c>
      <c r="G40" s="1">
        <f t="shared" si="2"/>
        <v>457.21972</v>
      </c>
      <c r="H40" s="4" t="s">
        <v>111</v>
      </c>
    </row>
    <row r="41" spans="1:8">
      <c r="A41" s="1">
        <v>40</v>
      </c>
      <c r="B41" s="1" t="s">
        <v>112</v>
      </c>
      <c r="C41" s="1" t="s">
        <v>108</v>
      </c>
      <c r="D41" s="1">
        <v>476.241</v>
      </c>
      <c r="E41" s="1">
        <f t="shared" si="0"/>
        <v>477.24828</v>
      </c>
      <c r="F41" s="1">
        <f t="shared" si="1"/>
        <v>494.27483</v>
      </c>
      <c r="G41" s="1">
        <f t="shared" si="2"/>
        <v>499.23022</v>
      </c>
      <c r="H41" s="1" t="s">
        <v>113</v>
      </c>
    </row>
    <row r="42" spans="1:8">
      <c r="A42" s="1">
        <v>41</v>
      </c>
      <c r="B42" s="1" t="s">
        <v>114</v>
      </c>
      <c r="C42" s="1" t="s">
        <v>115</v>
      </c>
      <c r="D42" s="1">
        <v>518.2516</v>
      </c>
      <c r="E42" s="1">
        <f t="shared" si="0"/>
        <v>519.25888</v>
      </c>
      <c r="F42" s="1">
        <f t="shared" si="1"/>
        <v>536.28543</v>
      </c>
      <c r="G42" s="1">
        <f t="shared" si="2"/>
        <v>541.24082</v>
      </c>
      <c r="H42" s="1" t="s">
        <v>116</v>
      </c>
    </row>
    <row r="43" spans="1:8">
      <c r="A43" s="1">
        <v>42</v>
      </c>
      <c r="B43" s="1" t="s">
        <v>117</v>
      </c>
      <c r="C43" s="1" t="s">
        <v>118</v>
      </c>
      <c r="D43" s="1">
        <v>408.2148</v>
      </c>
      <c r="E43" s="1">
        <f t="shared" si="0"/>
        <v>409.22208</v>
      </c>
      <c r="F43" s="1">
        <f t="shared" si="1"/>
        <v>426.24863</v>
      </c>
      <c r="G43" s="1">
        <f t="shared" si="2"/>
        <v>431.20402</v>
      </c>
      <c r="H43" s="1" t="s">
        <v>119</v>
      </c>
    </row>
    <row r="44" spans="1:8">
      <c r="A44" s="1">
        <v>43</v>
      </c>
      <c r="B44" s="1" t="s">
        <v>120</v>
      </c>
      <c r="C44" s="1" t="s">
        <v>105</v>
      </c>
      <c r="D44" s="1">
        <v>434.2305</v>
      </c>
      <c r="E44" s="1">
        <f t="shared" si="0"/>
        <v>435.23778</v>
      </c>
      <c r="F44" s="1">
        <f t="shared" si="1"/>
        <v>452.26433</v>
      </c>
      <c r="G44" s="1">
        <f t="shared" si="2"/>
        <v>457.21972</v>
      </c>
      <c r="H44" s="1" t="s">
        <v>121</v>
      </c>
    </row>
    <row r="45" spans="1:8">
      <c r="A45" s="1">
        <v>44</v>
      </c>
      <c r="B45" s="1" t="s">
        <v>122</v>
      </c>
      <c r="C45" s="1" t="s">
        <v>123</v>
      </c>
      <c r="D45" s="1">
        <v>450.2254</v>
      </c>
      <c r="E45" s="1">
        <f t="shared" si="0"/>
        <v>451.23268</v>
      </c>
      <c r="F45" s="1">
        <f t="shared" si="1"/>
        <v>468.25923</v>
      </c>
      <c r="G45" s="1">
        <f t="shared" si="2"/>
        <v>473.21462</v>
      </c>
      <c r="H45" s="1" t="s">
        <v>124</v>
      </c>
    </row>
    <row r="46" spans="1:8">
      <c r="A46" s="1">
        <v>45</v>
      </c>
      <c r="B46" s="1" t="s">
        <v>125</v>
      </c>
      <c r="C46" s="1" t="s">
        <v>126</v>
      </c>
      <c r="D46" s="1">
        <v>492.2359</v>
      </c>
      <c r="E46" s="1">
        <f t="shared" si="0"/>
        <v>493.24318</v>
      </c>
      <c r="F46" s="1">
        <f t="shared" si="1"/>
        <v>510.26973</v>
      </c>
      <c r="G46" s="1">
        <f t="shared" si="2"/>
        <v>515.22512</v>
      </c>
      <c r="H46" s="1" t="s">
        <v>127</v>
      </c>
    </row>
    <row r="47" spans="1:8">
      <c r="A47" s="1">
        <v>46</v>
      </c>
      <c r="B47" s="1" t="s">
        <v>128</v>
      </c>
      <c r="C47" s="1" t="s">
        <v>126</v>
      </c>
      <c r="D47" s="1">
        <v>492.2359</v>
      </c>
      <c r="E47" s="1">
        <f t="shared" si="0"/>
        <v>493.24318</v>
      </c>
      <c r="F47" s="1">
        <f t="shared" si="1"/>
        <v>510.26973</v>
      </c>
      <c r="G47" s="1">
        <f t="shared" si="2"/>
        <v>515.22512</v>
      </c>
      <c r="H47" s="1" t="s">
        <v>129</v>
      </c>
    </row>
    <row r="48" spans="1:8">
      <c r="A48" s="1">
        <v>47</v>
      </c>
      <c r="B48" s="1" t="s">
        <v>130</v>
      </c>
      <c r="C48" s="1" t="s">
        <v>131</v>
      </c>
      <c r="D48" s="1">
        <v>534.2465</v>
      </c>
      <c r="E48" s="1">
        <f t="shared" si="0"/>
        <v>535.25378</v>
      </c>
      <c r="F48" s="1">
        <f t="shared" si="1"/>
        <v>552.28033</v>
      </c>
      <c r="G48" s="1">
        <f t="shared" si="2"/>
        <v>557.23572</v>
      </c>
      <c r="H48" s="1" t="s">
        <v>132</v>
      </c>
    </row>
    <row r="49" spans="1:8">
      <c r="A49" s="1">
        <v>48</v>
      </c>
      <c r="B49" s="1" t="s">
        <v>133</v>
      </c>
      <c r="C49" s="1" t="s">
        <v>86</v>
      </c>
      <c r="D49" s="1">
        <v>552.2571</v>
      </c>
      <c r="E49" s="1">
        <f t="shared" si="0"/>
        <v>553.26438</v>
      </c>
      <c r="F49" s="1">
        <f t="shared" si="1"/>
        <v>570.29093</v>
      </c>
      <c r="G49" s="1">
        <f t="shared" si="2"/>
        <v>575.24632</v>
      </c>
      <c r="H49" s="1" t="s">
        <v>134</v>
      </c>
    </row>
    <row r="50" spans="1:8">
      <c r="A50" s="1">
        <v>49</v>
      </c>
      <c r="B50" s="1" t="s">
        <v>135</v>
      </c>
      <c r="C50" s="1" t="s">
        <v>136</v>
      </c>
      <c r="D50" s="1">
        <v>368.2199</v>
      </c>
      <c r="E50" s="1">
        <f t="shared" si="0"/>
        <v>369.22718</v>
      </c>
      <c r="F50" s="1">
        <f t="shared" si="1"/>
        <v>386.25373</v>
      </c>
      <c r="G50" s="1">
        <f t="shared" si="2"/>
        <v>391.20912</v>
      </c>
      <c r="H50" s="1" t="s">
        <v>137</v>
      </c>
    </row>
    <row r="51" spans="1:8">
      <c r="A51" s="1">
        <v>50</v>
      </c>
      <c r="B51" s="1" t="s">
        <v>138</v>
      </c>
      <c r="C51" s="1" t="s">
        <v>139</v>
      </c>
      <c r="D51" s="1">
        <v>394.2355</v>
      </c>
      <c r="E51" s="1">
        <f t="shared" si="0"/>
        <v>395.24278</v>
      </c>
      <c r="F51" s="1">
        <f t="shared" si="1"/>
        <v>412.26933</v>
      </c>
      <c r="G51" s="1">
        <f t="shared" si="2"/>
        <v>417.22472</v>
      </c>
      <c r="H51" s="1" t="s">
        <v>140</v>
      </c>
    </row>
    <row r="52" spans="1:8">
      <c r="A52" s="1">
        <v>51</v>
      </c>
      <c r="B52" s="1" t="s">
        <v>141</v>
      </c>
      <c r="C52" s="1" t="s">
        <v>142</v>
      </c>
      <c r="D52" s="1">
        <v>556.2672</v>
      </c>
      <c r="E52" s="1">
        <f t="shared" si="0"/>
        <v>557.27448</v>
      </c>
      <c r="F52" s="1">
        <f t="shared" si="1"/>
        <v>574.30103</v>
      </c>
      <c r="G52" s="1">
        <f t="shared" si="2"/>
        <v>579.25642</v>
      </c>
      <c r="H52" s="6" t="s">
        <v>143</v>
      </c>
    </row>
    <row r="53" spans="1:8">
      <c r="A53" s="1">
        <v>52</v>
      </c>
      <c r="B53" s="1" t="s">
        <v>144</v>
      </c>
      <c r="C53" s="1" t="s">
        <v>145</v>
      </c>
      <c r="D53" s="1">
        <v>614.2727</v>
      </c>
      <c r="E53" s="1">
        <f t="shared" si="0"/>
        <v>615.27998</v>
      </c>
      <c r="F53" s="1">
        <f t="shared" si="1"/>
        <v>632.30653</v>
      </c>
      <c r="G53" s="1">
        <f t="shared" si="2"/>
        <v>637.26192</v>
      </c>
      <c r="H53" s="1" t="s">
        <v>146</v>
      </c>
    </row>
    <row r="54" spans="1:8">
      <c r="A54" s="1">
        <v>53</v>
      </c>
      <c r="B54" s="1" t="s">
        <v>147</v>
      </c>
      <c r="C54" s="1" t="s">
        <v>142</v>
      </c>
      <c r="D54" s="1">
        <v>556.2672</v>
      </c>
      <c r="E54" s="1">
        <f t="shared" si="0"/>
        <v>557.27448</v>
      </c>
      <c r="F54" s="1">
        <f t="shared" si="1"/>
        <v>574.30103</v>
      </c>
      <c r="G54" s="1">
        <f t="shared" si="2"/>
        <v>579.25642</v>
      </c>
      <c r="H54" s="1" t="s">
        <v>148</v>
      </c>
    </row>
    <row r="55" spans="1:8">
      <c r="A55" s="1">
        <v>54</v>
      </c>
      <c r="B55" s="1" t="s">
        <v>149</v>
      </c>
      <c r="C55" s="1" t="s">
        <v>150</v>
      </c>
      <c r="D55" s="1">
        <v>546.3193</v>
      </c>
      <c r="E55" s="1">
        <f t="shared" si="0"/>
        <v>547.32658</v>
      </c>
      <c r="F55" s="1">
        <f t="shared" si="1"/>
        <v>564.35313</v>
      </c>
      <c r="G55" s="1">
        <f t="shared" si="2"/>
        <v>569.30852</v>
      </c>
      <c r="H55" s="1" t="s">
        <v>151</v>
      </c>
    </row>
    <row r="56" spans="1:8">
      <c r="A56" s="1">
        <v>55</v>
      </c>
      <c r="B56" s="1" t="s">
        <v>152</v>
      </c>
      <c r="C56" s="1" t="s">
        <v>153</v>
      </c>
      <c r="D56" s="1">
        <v>562.3142</v>
      </c>
      <c r="E56" s="1">
        <f t="shared" si="0"/>
        <v>563.32148</v>
      </c>
      <c r="F56" s="1">
        <f t="shared" si="1"/>
        <v>580.34803</v>
      </c>
      <c r="G56" s="1">
        <f t="shared" si="2"/>
        <v>585.30342</v>
      </c>
      <c r="H56" s="1" t="s">
        <v>154</v>
      </c>
    </row>
    <row r="57" spans="1:8">
      <c r="A57" s="1">
        <v>56</v>
      </c>
      <c r="B57" s="1" t="s">
        <v>155</v>
      </c>
      <c r="C57" s="1" t="s">
        <v>156</v>
      </c>
      <c r="D57" s="1">
        <v>604.3247</v>
      </c>
      <c r="E57" s="1">
        <f t="shared" si="0"/>
        <v>605.33198</v>
      </c>
      <c r="F57" s="1">
        <f t="shared" si="1"/>
        <v>622.35853</v>
      </c>
      <c r="G57" s="1">
        <f t="shared" si="2"/>
        <v>627.31392</v>
      </c>
      <c r="H57" s="1" t="s">
        <v>157</v>
      </c>
    </row>
    <row r="58" spans="1:8">
      <c r="A58" s="1">
        <v>57</v>
      </c>
      <c r="B58" s="1" t="s">
        <v>158</v>
      </c>
      <c r="C58" s="1" t="s">
        <v>159</v>
      </c>
      <c r="D58" s="1">
        <v>550.2931</v>
      </c>
      <c r="E58" s="1">
        <f t="shared" si="0"/>
        <v>551.30038</v>
      </c>
      <c r="F58" s="1">
        <f t="shared" si="1"/>
        <v>568.32693</v>
      </c>
      <c r="G58" s="1">
        <f t="shared" si="2"/>
        <v>573.28232</v>
      </c>
      <c r="H58" s="1" t="s">
        <v>160</v>
      </c>
    </row>
    <row r="59" spans="1:8">
      <c r="A59" s="1">
        <v>58</v>
      </c>
      <c r="B59" s="1" t="s">
        <v>161</v>
      </c>
      <c r="C59" s="1" t="s">
        <v>159</v>
      </c>
      <c r="D59" s="1">
        <v>550.2931</v>
      </c>
      <c r="E59" s="1">
        <f t="shared" si="0"/>
        <v>551.30038</v>
      </c>
      <c r="F59" s="1">
        <f t="shared" si="1"/>
        <v>568.32693</v>
      </c>
      <c r="G59" s="1">
        <f t="shared" si="2"/>
        <v>573.28232</v>
      </c>
      <c r="H59" s="1" t="s">
        <v>162</v>
      </c>
    </row>
    <row r="60" spans="1:8">
      <c r="A60" s="1">
        <v>59</v>
      </c>
      <c r="B60" s="1" t="s">
        <v>163</v>
      </c>
      <c r="C60" s="1" t="s">
        <v>164</v>
      </c>
      <c r="D60" s="1">
        <v>592.3036</v>
      </c>
      <c r="E60" s="1">
        <f t="shared" si="0"/>
        <v>593.31088</v>
      </c>
      <c r="F60" s="1">
        <f t="shared" si="1"/>
        <v>610.33743</v>
      </c>
      <c r="G60" s="1">
        <f t="shared" si="2"/>
        <v>615.29282</v>
      </c>
      <c r="H60" s="1" t="s">
        <v>165</v>
      </c>
    </row>
    <row r="61" spans="1:8">
      <c r="A61" s="1">
        <v>60</v>
      </c>
      <c r="B61" s="1" t="s">
        <v>166</v>
      </c>
      <c r="C61" s="1" t="s">
        <v>167</v>
      </c>
      <c r="D61" s="1">
        <v>566.288</v>
      </c>
      <c r="E61" s="1">
        <f t="shared" si="0"/>
        <v>567.29528</v>
      </c>
      <c r="F61" s="1">
        <f t="shared" si="1"/>
        <v>584.32183</v>
      </c>
      <c r="G61" s="1">
        <f t="shared" si="2"/>
        <v>589.27722</v>
      </c>
      <c r="H61" s="1" t="s">
        <v>168</v>
      </c>
    </row>
    <row r="62" spans="1:8">
      <c r="A62" s="1">
        <v>61</v>
      </c>
      <c r="B62" s="1" t="s">
        <v>169</v>
      </c>
      <c r="C62" s="1" t="s">
        <v>170</v>
      </c>
      <c r="D62" s="1">
        <v>608.2985</v>
      </c>
      <c r="E62" s="1">
        <f t="shared" si="0"/>
        <v>609.30578</v>
      </c>
      <c r="F62" s="1">
        <f t="shared" si="1"/>
        <v>626.33233</v>
      </c>
      <c r="G62" s="1">
        <f t="shared" si="2"/>
        <v>631.28772</v>
      </c>
      <c r="H62" s="1" t="s">
        <v>171</v>
      </c>
    </row>
    <row r="63" spans="1:8">
      <c r="A63" s="1">
        <v>62</v>
      </c>
      <c r="B63" s="1" t="s">
        <v>172</v>
      </c>
      <c r="C63" s="1" t="s">
        <v>170</v>
      </c>
      <c r="D63" s="1">
        <v>608.2985</v>
      </c>
      <c r="E63" s="1">
        <f t="shared" si="0"/>
        <v>609.30578</v>
      </c>
      <c r="F63" s="1">
        <f t="shared" si="1"/>
        <v>626.33233</v>
      </c>
      <c r="G63" s="1">
        <f t="shared" si="2"/>
        <v>631.28772</v>
      </c>
      <c r="H63" s="1" t="s">
        <v>173</v>
      </c>
    </row>
    <row r="64" spans="1:11">
      <c r="A64" s="3">
        <v>63</v>
      </c>
      <c r="B64" s="3" t="s">
        <v>174</v>
      </c>
      <c r="C64" s="3" t="s">
        <v>94</v>
      </c>
      <c r="D64" s="3">
        <v>650.3091</v>
      </c>
      <c r="E64" s="3">
        <f t="shared" si="0"/>
        <v>651.31638</v>
      </c>
      <c r="F64" s="3">
        <f t="shared" si="1"/>
        <v>668.34293</v>
      </c>
      <c r="G64" s="3">
        <f t="shared" si="2"/>
        <v>673.29832</v>
      </c>
      <c r="H64" s="3" t="s">
        <v>175</v>
      </c>
      <c r="I64" s="3"/>
      <c r="J64" s="3"/>
      <c r="K64" s="8"/>
    </row>
    <row r="65" spans="1:8">
      <c r="A65" s="1">
        <v>64</v>
      </c>
      <c r="B65" s="1" t="s">
        <v>176</v>
      </c>
      <c r="C65" s="1" t="s">
        <v>177</v>
      </c>
      <c r="D65" s="1">
        <v>566.288</v>
      </c>
      <c r="E65" s="1">
        <f t="shared" si="0"/>
        <v>567.29528</v>
      </c>
      <c r="F65" s="1">
        <f t="shared" si="1"/>
        <v>584.32183</v>
      </c>
      <c r="G65" s="1">
        <f t="shared" si="2"/>
        <v>589.27722</v>
      </c>
      <c r="H65" s="1" t="s">
        <v>178</v>
      </c>
    </row>
    <row r="66" spans="1:8">
      <c r="A66" s="1">
        <v>65</v>
      </c>
      <c r="B66" s="1" t="s">
        <v>179</v>
      </c>
      <c r="C66" s="1" t="s">
        <v>170</v>
      </c>
      <c r="D66" s="1">
        <v>608.2985</v>
      </c>
      <c r="E66" s="1">
        <f t="shared" si="0"/>
        <v>609.30578</v>
      </c>
      <c r="F66" s="1">
        <f t="shared" si="1"/>
        <v>626.33233</v>
      </c>
      <c r="G66" s="1">
        <f t="shared" si="2"/>
        <v>631.28772</v>
      </c>
      <c r="H66" s="1" t="s">
        <v>180</v>
      </c>
    </row>
    <row r="67" spans="1:8">
      <c r="A67" s="1">
        <v>66</v>
      </c>
      <c r="B67" s="1" t="s">
        <v>181</v>
      </c>
      <c r="C67" s="1" t="s">
        <v>182</v>
      </c>
      <c r="D67" s="1">
        <v>666.304</v>
      </c>
      <c r="E67" s="1">
        <f t="shared" ref="E67:E130" si="3">D67+1.00728</f>
        <v>667.31128</v>
      </c>
      <c r="F67" s="1">
        <f t="shared" ref="F67:F130" si="4">D67+18.03383</f>
        <v>684.33783</v>
      </c>
      <c r="G67" s="1">
        <f t="shared" ref="G67:G130" si="5">D67+22.98922</f>
        <v>689.29322</v>
      </c>
      <c r="H67" s="1" t="s">
        <v>183</v>
      </c>
    </row>
    <row r="68" spans="1:8">
      <c r="A68" s="1">
        <v>67</v>
      </c>
      <c r="B68" s="1" t="s">
        <v>184</v>
      </c>
      <c r="C68" s="1" t="s">
        <v>167</v>
      </c>
      <c r="D68" s="4">
        <v>566.288</v>
      </c>
      <c r="E68" s="4">
        <f t="shared" si="3"/>
        <v>567.29528</v>
      </c>
      <c r="F68" s="4">
        <f t="shared" si="4"/>
        <v>584.32183</v>
      </c>
      <c r="G68" s="1">
        <f t="shared" si="5"/>
        <v>589.27722</v>
      </c>
      <c r="H68" s="4" t="s">
        <v>185</v>
      </c>
    </row>
    <row r="69" spans="1:11">
      <c r="A69" s="3">
        <v>68</v>
      </c>
      <c r="B69" s="3" t="s">
        <v>186</v>
      </c>
      <c r="C69" s="3" t="s">
        <v>170</v>
      </c>
      <c r="D69" s="3">
        <v>608.2985</v>
      </c>
      <c r="E69" s="3">
        <f t="shared" si="3"/>
        <v>609.30578</v>
      </c>
      <c r="F69" s="3">
        <f t="shared" si="4"/>
        <v>626.33233</v>
      </c>
      <c r="G69" s="3">
        <f t="shared" si="5"/>
        <v>631.28772</v>
      </c>
      <c r="H69" s="3" t="s">
        <v>187</v>
      </c>
      <c r="I69" s="3"/>
      <c r="J69" s="3"/>
      <c r="K69" s="8"/>
    </row>
    <row r="70" spans="1:8">
      <c r="A70" s="1">
        <v>69</v>
      </c>
      <c r="B70" s="1" t="s">
        <v>188</v>
      </c>
      <c r="C70" s="1" t="s">
        <v>170</v>
      </c>
      <c r="D70" s="4">
        <v>608.2985</v>
      </c>
      <c r="E70" s="4">
        <f t="shared" si="3"/>
        <v>609.30578</v>
      </c>
      <c r="F70" s="4">
        <f t="shared" si="4"/>
        <v>626.33233</v>
      </c>
      <c r="G70" s="1">
        <f t="shared" si="5"/>
        <v>631.28772</v>
      </c>
      <c r="H70" s="4" t="s">
        <v>189</v>
      </c>
    </row>
    <row r="71" spans="1:8">
      <c r="A71" s="1">
        <v>70</v>
      </c>
      <c r="B71" s="1" t="s">
        <v>190</v>
      </c>
      <c r="C71" s="1" t="s">
        <v>170</v>
      </c>
      <c r="D71" s="1">
        <v>608.2985</v>
      </c>
      <c r="E71" s="1">
        <f t="shared" si="3"/>
        <v>609.30578</v>
      </c>
      <c r="F71" s="1">
        <f t="shared" si="4"/>
        <v>626.33233</v>
      </c>
      <c r="G71" s="1">
        <f t="shared" si="5"/>
        <v>631.28772</v>
      </c>
      <c r="H71" s="1" t="s">
        <v>191</v>
      </c>
    </row>
    <row r="72" spans="1:11">
      <c r="A72" s="3">
        <v>71</v>
      </c>
      <c r="B72" s="3" t="s">
        <v>192</v>
      </c>
      <c r="C72" s="3" t="s">
        <v>94</v>
      </c>
      <c r="D72" s="3">
        <v>650.3091</v>
      </c>
      <c r="E72" s="3">
        <f t="shared" si="3"/>
        <v>651.31638</v>
      </c>
      <c r="F72" s="3">
        <f t="shared" si="4"/>
        <v>668.34293</v>
      </c>
      <c r="G72" s="3">
        <f t="shared" si="5"/>
        <v>673.29832</v>
      </c>
      <c r="H72" s="3" t="s">
        <v>193</v>
      </c>
      <c r="I72" s="3"/>
      <c r="J72" s="3"/>
      <c r="K72" s="8"/>
    </row>
    <row r="73" spans="1:8">
      <c r="A73" s="1">
        <v>72</v>
      </c>
      <c r="B73" s="1" t="s">
        <v>194</v>
      </c>
      <c r="C73" s="1" t="s">
        <v>182</v>
      </c>
      <c r="D73" s="1">
        <v>666.304</v>
      </c>
      <c r="E73" s="1">
        <f t="shared" si="3"/>
        <v>667.31128</v>
      </c>
      <c r="F73" s="1">
        <f t="shared" si="4"/>
        <v>684.33783</v>
      </c>
      <c r="G73" s="1">
        <f t="shared" si="5"/>
        <v>689.29322</v>
      </c>
      <c r="H73" s="1" t="s">
        <v>195</v>
      </c>
    </row>
    <row r="74" spans="1:11">
      <c r="A74" s="3">
        <v>73</v>
      </c>
      <c r="B74" s="3" t="s">
        <v>196</v>
      </c>
      <c r="C74" s="3" t="s">
        <v>197</v>
      </c>
      <c r="D74" s="3">
        <v>708.3146</v>
      </c>
      <c r="E74" s="3">
        <f t="shared" si="3"/>
        <v>709.32188</v>
      </c>
      <c r="F74" s="3">
        <f t="shared" si="4"/>
        <v>726.34843</v>
      </c>
      <c r="G74" s="3">
        <f t="shared" si="5"/>
        <v>731.30382</v>
      </c>
      <c r="H74" s="3" t="s">
        <v>198</v>
      </c>
      <c r="I74" s="3"/>
      <c r="J74" s="3"/>
      <c r="K74" s="8"/>
    </row>
    <row r="75" spans="1:8">
      <c r="A75" s="1">
        <v>74</v>
      </c>
      <c r="B75" s="1" t="s">
        <v>199</v>
      </c>
      <c r="C75" s="1" t="s">
        <v>182</v>
      </c>
      <c r="D75" s="1">
        <v>666.304</v>
      </c>
      <c r="E75" s="1">
        <f t="shared" si="3"/>
        <v>667.31128</v>
      </c>
      <c r="F75" s="1">
        <f t="shared" si="4"/>
        <v>684.33783</v>
      </c>
      <c r="G75" s="1">
        <f t="shared" si="5"/>
        <v>689.29322</v>
      </c>
      <c r="H75" s="1" t="s">
        <v>200</v>
      </c>
    </row>
    <row r="76" spans="1:8">
      <c r="A76" s="1">
        <v>75</v>
      </c>
      <c r="B76" s="1" t="s">
        <v>201</v>
      </c>
      <c r="C76" s="1" t="s">
        <v>202</v>
      </c>
      <c r="D76" s="1">
        <v>724.3095</v>
      </c>
      <c r="E76" s="1">
        <f t="shared" si="3"/>
        <v>725.31678</v>
      </c>
      <c r="F76" s="1">
        <f t="shared" si="4"/>
        <v>742.34333</v>
      </c>
      <c r="G76" s="1">
        <f t="shared" si="5"/>
        <v>747.29872</v>
      </c>
      <c r="H76" s="1" t="s">
        <v>203</v>
      </c>
    </row>
    <row r="77" spans="1:8">
      <c r="A77" s="1">
        <v>76</v>
      </c>
      <c r="B77" s="1" t="s">
        <v>204</v>
      </c>
      <c r="C77" s="1" t="s">
        <v>205</v>
      </c>
      <c r="D77" s="1">
        <v>606.2829</v>
      </c>
      <c r="E77" s="1">
        <f t="shared" si="3"/>
        <v>607.29018</v>
      </c>
      <c r="F77" s="1">
        <f t="shared" si="4"/>
        <v>624.31673</v>
      </c>
      <c r="G77" s="1">
        <f t="shared" si="5"/>
        <v>629.27212</v>
      </c>
      <c r="H77" s="1" t="s">
        <v>206</v>
      </c>
    </row>
    <row r="78" spans="1:8">
      <c r="A78" s="1">
        <v>77</v>
      </c>
      <c r="B78" s="1" t="s">
        <v>207</v>
      </c>
      <c r="C78" s="1" t="s">
        <v>208</v>
      </c>
      <c r="D78" s="1">
        <v>480.2512</v>
      </c>
      <c r="E78" s="1">
        <f t="shared" si="3"/>
        <v>481.25848</v>
      </c>
      <c r="F78" s="1">
        <f t="shared" si="4"/>
        <v>498.28503</v>
      </c>
      <c r="G78" s="1">
        <f t="shared" si="5"/>
        <v>503.24042</v>
      </c>
      <c r="H78" s="1" t="s">
        <v>209</v>
      </c>
    </row>
    <row r="79" spans="1:8">
      <c r="A79" s="1">
        <v>78</v>
      </c>
      <c r="B79" s="1" t="s">
        <v>210</v>
      </c>
      <c r="C79" s="1" t="s">
        <v>211</v>
      </c>
      <c r="D79" s="1">
        <v>522.2618</v>
      </c>
      <c r="E79" s="1">
        <f t="shared" si="3"/>
        <v>523.26908</v>
      </c>
      <c r="F79" s="1">
        <f t="shared" si="4"/>
        <v>540.29563</v>
      </c>
      <c r="G79" s="1">
        <f t="shared" si="5"/>
        <v>545.25102</v>
      </c>
      <c r="H79" s="1" t="s">
        <v>212</v>
      </c>
    </row>
    <row r="80" spans="1:8">
      <c r="A80" s="1">
        <v>79</v>
      </c>
      <c r="B80" s="1" t="s">
        <v>213</v>
      </c>
      <c r="C80" s="1" t="s">
        <v>211</v>
      </c>
      <c r="D80" s="1">
        <v>522.2618</v>
      </c>
      <c r="E80" s="1">
        <f t="shared" si="3"/>
        <v>523.26908</v>
      </c>
      <c r="F80" s="1">
        <f t="shared" si="4"/>
        <v>540.29563</v>
      </c>
      <c r="G80" s="1">
        <f t="shared" si="5"/>
        <v>545.25102</v>
      </c>
      <c r="H80" s="1" t="s">
        <v>214</v>
      </c>
    </row>
    <row r="81" spans="1:8">
      <c r="A81" s="1">
        <v>80</v>
      </c>
      <c r="B81" s="1" t="s">
        <v>215</v>
      </c>
      <c r="C81" s="1" t="s">
        <v>216</v>
      </c>
      <c r="D81" s="1">
        <v>564.2723</v>
      </c>
      <c r="E81" s="1">
        <f t="shared" si="3"/>
        <v>565.27958</v>
      </c>
      <c r="F81" s="1">
        <f t="shared" si="4"/>
        <v>582.30613</v>
      </c>
      <c r="G81" s="1">
        <f t="shared" si="5"/>
        <v>587.26152</v>
      </c>
      <c r="H81" s="1" t="s">
        <v>217</v>
      </c>
    </row>
    <row r="82" spans="1:8">
      <c r="A82" s="1">
        <v>81</v>
      </c>
      <c r="B82" s="1" t="s">
        <v>218</v>
      </c>
      <c r="C82" s="1" t="s">
        <v>211</v>
      </c>
      <c r="D82" s="1">
        <v>522.2618</v>
      </c>
      <c r="E82" s="1">
        <f t="shared" si="3"/>
        <v>523.26908</v>
      </c>
      <c r="F82" s="1">
        <f t="shared" si="4"/>
        <v>540.29563</v>
      </c>
      <c r="G82" s="1">
        <f t="shared" si="5"/>
        <v>545.25102</v>
      </c>
      <c r="H82" s="1" t="s">
        <v>219</v>
      </c>
    </row>
    <row r="83" spans="1:8">
      <c r="A83" s="1">
        <v>82</v>
      </c>
      <c r="B83" s="1" t="s">
        <v>220</v>
      </c>
      <c r="C83" s="1" t="s">
        <v>216</v>
      </c>
      <c r="D83" s="1">
        <v>564.2723</v>
      </c>
      <c r="E83" s="1">
        <f t="shared" si="3"/>
        <v>565.27958</v>
      </c>
      <c r="F83" s="1">
        <f t="shared" si="4"/>
        <v>582.30613</v>
      </c>
      <c r="G83" s="1">
        <f t="shared" si="5"/>
        <v>587.26152</v>
      </c>
      <c r="H83" s="1" t="s">
        <v>221</v>
      </c>
    </row>
    <row r="84" spans="1:8">
      <c r="A84" s="1">
        <v>83</v>
      </c>
      <c r="B84" s="1" t="s">
        <v>222</v>
      </c>
      <c r="C84" s="1" t="s">
        <v>216</v>
      </c>
      <c r="D84" s="1">
        <v>564.2723</v>
      </c>
      <c r="E84" s="1">
        <f t="shared" si="3"/>
        <v>565.27958</v>
      </c>
      <c r="F84" s="1">
        <f t="shared" si="4"/>
        <v>582.30613</v>
      </c>
      <c r="G84" s="1">
        <f t="shared" si="5"/>
        <v>587.26152</v>
      </c>
      <c r="H84" s="1" t="s">
        <v>223</v>
      </c>
    </row>
    <row r="85" spans="1:11">
      <c r="A85" s="3">
        <v>84</v>
      </c>
      <c r="B85" s="3" t="s">
        <v>224</v>
      </c>
      <c r="C85" s="3" t="s">
        <v>205</v>
      </c>
      <c r="D85" s="3">
        <v>606.2829</v>
      </c>
      <c r="E85" s="3">
        <f t="shared" si="3"/>
        <v>607.29018</v>
      </c>
      <c r="F85" s="3">
        <f t="shared" si="4"/>
        <v>624.31673</v>
      </c>
      <c r="G85" s="3">
        <f t="shared" si="5"/>
        <v>629.27212</v>
      </c>
      <c r="H85" s="3" t="s">
        <v>225</v>
      </c>
      <c r="I85" s="3"/>
      <c r="J85" s="3"/>
      <c r="K85" s="8"/>
    </row>
    <row r="86" spans="1:8">
      <c r="A86" s="1">
        <v>85</v>
      </c>
      <c r="B86" s="1" t="s">
        <v>226</v>
      </c>
      <c r="C86" s="1" t="s">
        <v>227</v>
      </c>
      <c r="D86" s="1">
        <v>538.2567</v>
      </c>
      <c r="E86" s="1">
        <f t="shared" si="3"/>
        <v>539.26398</v>
      </c>
      <c r="F86" s="1">
        <f t="shared" si="4"/>
        <v>556.29053</v>
      </c>
      <c r="G86" s="1">
        <f t="shared" si="5"/>
        <v>561.24592</v>
      </c>
      <c r="H86" s="1" t="s">
        <v>228</v>
      </c>
    </row>
    <row r="87" spans="1:8">
      <c r="A87" s="1">
        <v>86</v>
      </c>
      <c r="B87" s="1" t="s">
        <v>229</v>
      </c>
      <c r="C87" s="1" t="s">
        <v>230</v>
      </c>
      <c r="D87" s="1">
        <v>580.2672</v>
      </c>
      <c r="E87" s="1">
        <f t="shared" si="3"/>
        <v>581.27448</v>
      </c>
      <c r="F87" s="1">
        <f t="shared" si="4"/>
        <v>598.30103</v>
      </c>
      <c r="G87" s="1">
        <f t="shared" si="5"/>
        <v>603.25642</v>
      </c>
      <c r="H87" s="1" t="s">
        <v>231</v>
      </c>
    </row>
    <row r="88" spans="1:8">
      <c r="A88" s="1">
        <v>87</v>
      </c>
      <c r="B88" s="1" t="s">
        <v>232</v>
      </c>
      <c r="C88" s="1" t="s">
        <v>233</v>
      </c>
      <c r="D88" s="1">
        <v>622.2778</v>
      </c>
      <c r="E88" s="1">
        <f t="shared" si="3"/>
        <v>623.28508</v>
      </c>
      <c r="F88" s="1">
        <f t="shared" si="4"/>
        <v>640.31163</v>
      </c>
      <c r="G88" s="1">
        <f t="shared" si="5"/>
        <v>645.26702</v>
      </c>
      <c r="H88" s="1" t="s">
        <v>234</v>
      </c>
    </row>
    <row r="89" spans="1:8">
      <c r="A89" s="1">
        <v>88</v>
      </c>
      <c r="B89" s="1" t="s">
        <v>235</v>
      </c>
      <c r="C89" s="1" t="s">
        <v>233</v>
      </c>
      <c r="D89" s="1">
        <v>622.2778</v>
      </c>
      <c r="E89" s="1">
        <f t="shared" si="3"/>
        <v>623.28508</v>
      </c>
      <c r="F89" s="1">
        <f t="shared" si="4"/>
        <v>640.31163</v>
      </c>
      <c r="G89" s="1">
        <f t="shared" si="5"/>
        <v>645.26702</v>
      </c>
      <c r="H89" s="1" t="s">
        <v>236</v>
      </c>
    </row>
    <row r="90" spans="1:11">
      <c r="A90" s="3">
        <v>89</v>
      </c>
      <c r="B90" s="3" t="s">
        <v>237</v>
      </c>
      <c r="C90" s="3" t="s">
        <v>238</v>
      </c>
      <c r="D90" s="3">
        <v>664.2884</v>
      </c>
      <c r="E90" s="3">
        <f t="shared" si="3"/>
        <v>665.29568</v>
      </c>
      <c r="F90" s="3">
        <f t="shared" si="4"/>
        <v>682.32223</v>
      </c>
      <c r="G90" s="3">
        <f t="shared" si="5"/>
        <v>687.27762</v>
      </c>
      <c r="H90" s="3" t="s">
        <v>239</v>
      </c>
      <c r="I90" s="3"/>
      <c r="J90" s="3"/>
      <c r="K90" s="8"/>
    </row>
    <row r="91" spans="1:8">
      <c r="A91" s="1">
        <v>90</v>
      </c>
      <c r="B91" s="1" t="s">
        <v>240</v>
      </c>
      <c r="C91" s="1" t="s">
        <v>241</v>
      </c>
      <c r="D91" s="1">
        <v>496.2461</v>
      </c>
      <c r="E91" s="1">
        <f t="shared" si="3"/>
        <v>497.25338</v>
      </c>
      <c r="F91" s="1">
        <f t="shared" si="4"/>
        <v>514.27993</v>
      </c>
      <c r="G91" s="1">
        <f t="shared" si="5"/>
        <v>519.23532</v>
      </c>
      <c r="H91" s="1" t="s">
        <v>242</v>
      </c>
    </row>
    <row r="92" spans="1:8">
      <c r="A92" s="1">
        <v>91</v>
      </c>
      <c r="B92" s="1" t="s">
        <v>243</v>
      </c>
      <c r="C92" s="1" t="s">
        <v>227</v>
      </c>
      <c r="D92" s="1">
        <v>538.2567</v>
      </c>
      <c r="E92" s="1">
        <f t="shared" si="3"/>
        <v>539.26398</v>
      </c>
      <c r="F92" s="1">
        <f t="shared" si="4"/>
        <v>556.29053</v>
      </c>
      <c r="G92" s="1">
        <f t="shared" si="5"/>
        <v>561.24592</v>
      </c>
      <c r="H92" s="1" t="s">
        <v>244</v>
      </c>
    </row>
    <row r="93" spans="1:8">
      <c r="A93" s="1">
        <v>92</v>
      </c>
      <c r="B93" s="1" t="s">
        <v>245</v>
      </c>
      <c r="C93" s="1" t="s">
        <v>241</v>
      </c>
      <c r="D93" s="1">
        <v>496.2461</v>
      </c>
      <c r="E93" s="1">
        <f t="shared" si="3"/>
        <v>497.25338</v>
      </c>
      <c r="F93" s="1">
        <f t="shared" si="4"/>
        <v>514.27993</v>
      </c>
      <c r="G93" s="1">
        <f t="shared" si="5"/>
        <v>519.23532</v>
      </c>
      <c r="H93" s="1" t="s">
        <v>246</v>
      </c>
    </row>
    <row r="94" spans="1:8">
      <c r="A94" s="1">
        <v>93</v>
      </c>
      <c r="B94" s="1" t="s">
        <v>247</v>
      </c>
      <c r="C94" s="1" t="s">
        <v>230</v>
      </c>
      <c r="D94" s="1">
        <v>580.2672</v>
      </c>
      <c r="E94" s="1">
        <f t="shared" si="3"/>
        <v>581.27448</v>
      </c>
      <c r="F94" s="1">
        <f t="shared" si="4"/>
        <v>598.30103</v>
      </c>
      <c r="G94" s="1">
        <f t="shared" si="5"/>
        <v>603.25642</v>
      </c>
      <c r="H94" s="1" t="s">
        <v>248</v>
      </c>
    </row>
    <row r="95" spans="1:8">
      <c r="A95" s="1">
        <v>94</v>
      </c>
      <c r="B95" s="1" t="s">
        <v>249</v>
      </c>
      <c r="C95" s="1" t="s">
        <v>227</v>
      </c>
      <c r="D95" s="1">
        <v>538.2567</v>
      </c>
      <c r="E95" s="1">
        <f t="shared" si="3"/>
        <v>539.26398</v>
      </c>
      <c r="F95" s="1">
        <f t="shared" si="4"/>
        <v>556.29053</v>
      </c>
      <c r="G95" s="1">
        <f t="shared" si="5"/>
        <v>561.24592</v>
      </c>
      <c r="H95" s="1" t="s">
        <v>250</v>
      </c>
    </row>
    <row r="96" spans="1:8">
      <c r="A96" s="1">
        <v>95</v>
      </c>
      <c r="B96" s="1" t="s">
        <v>251</v>
      </c>
      <c r="C96" s="1" t="s">
        <v>233</v>
      </c>
      <c r="D96" s="1">
        <v>622.2778</v>
      </c>
      <c r="E96" s="1">
        <f t="shared" si="3"/>
        <v>623.28508</v>
      </c>
      <c r="F96" s="1">
        <f t="shared" si="4"/>
        <v>640.31163</v>
      </c>
      <c r="G96" s="1">
        <f t="shared" si="5"/>
        <v>645.26702</v>
      </c>
      <c r="H96" s="1" t="s">
        <v>252</v>
      </c>
    </row>
    <row r="97" spans="1:8">
      <c r="A97" s="1">
        <v>96</v>
      </c>
      <c r="B97" s="1" t="s">
        <v>253</v>
      </c>
      <c r="C97" s="1" t="s">
        <v>254</v>
      </c>
      <c r="D97" s="1">
        <v>638.2727</v>
      </c>
      <c r="E97" s="1">
        <f t="shared" si="3"/>
        <v>639.27998</v>
      </c>
      <c r="F97" s="1">
        <f t="shared" si="4"/>
        <v>656.30653</v>
      </c>
      <c r="G97" s="1">
        <f t="shared" si="5"/>
        <v>661.26192</v>
      </c>
      <c r="H97" s="1" t="s">
        <v>255</v>
      </c>
    </row>
    <row r="98" spans="1:8">
      <c r="A98" s="1">
        <v>97</v>
      </c>
      <c r="B98" s="1" t="s">
        <v>256</v>
      </c>
      <c r="C98" s="1" t="s">
        <v>257</v>
      </c>
      <c r="D98" s="1">
        <v>680.2833</v>
      </c>
      <c r="E98" s="1">
        <f t="shared" si="3"/>
        <v>681.29058</v>
      </c>
      <c r="F98" s="1">
        <f t="shared" si="4"/>
        <v>698.31713</v>
      </c>
      <c r="G98" s="1">
        <f t="shared" si="5"/>
        <v>703.27252</v>
      </c>
      <c r="H98" s="1" t="s">
        <v>258</v>
      </c>
    </row>
    <row r="99" spans="1:8">
      <c r="A99" s="1">
        <v>98</v>
      </c>
      <c r="B99" s="1" t="s">
        <v>259</v>
      </c>
      <c r="C99" s="1" t="s">
        <v>260</v>
      </c>
      <c r="D99" s="1">
        <v>686.3091</v>
      </c>
      <c r="E99" s="1">
        <f t="shared" si="3"/>
        <v>687.31638</v>
      </c>
      <c r="F99" s="1">
        <f t="shared" si="4"/>
        <v>704.34293</v>
      </c>
      <c r="G99" s="1">
        <f t="shared" si="5"/>
        <v>709.29832</v>
      </c>
      <c r="H99" s="1" t="s">
        <v>261</v>
      </c>
    </row>
    <row r="100" spans="1:8">
      <c r="A100" s="1">
        <v>99</v>
      </c>
      <c r="B100" s="1" t="s">
        <v>262</v>
      </c>
      <c r="C100" s="1" t="s">
        <v>263</v>
      </c>
      <c r="D100" s="1">
        <v>623.3458</v>
      </c>
      <c r="E100" s="1">
        <f t="shared" si="3"/>
        <v>624.35308</v>
      </c>
      <c r="F100" s="1">
        <f t="shared" si="4"/>
        <v>641.37963</v>
      </c>
      <c r="G100" s="1">
        <f t="shared" si="5"/>
        <v>646.33502</v>
      </c>
      <c r="H100" s="1" t="s">
        <v>264</v>
      </c>
    </row>
    <row r="101" spans="1:8">
      <c r="A101" s="1">
        <v>100</v>
      </c>
      <c r="B101" s="1" t="s">
        <v>265</v>
      </c>
      <c r="C101" s="1" t="s">
        <v>266</v>
      </c>
      <c r="D101" s="1">
        <v>637.3615</v>
      </c>
      <c r="E101" s="1">
        <f t="shared" si="3"/>
        <v>638.36878</v>
      </c>
      <c r="F101" s="1">
        <f t="shared" si="4"/>
        <v>655.39533</v>
      </c>
      <c r="G101" s="1">
        <f t="shared" si="5"/>
        <v>660.35072</v>
      </c>
      <c r="H101" s="1" t="s">
        <v>267</v>
      </c>
    </row>
    <row r="102" spans="1:8">
      <c r="A102" s="1">
        <v>101</v>
      </c>
      <c r="B102" s="1" t="s">
        <v>268</v>
      </c>
      <c r="C102" s="1" t="s">
        <v>269</v>
      </c>
      <c r="D102" s="1">
        <v>681.3513</v>
      </c>
      <c r="E102" s="1">
        <f t="shared" si="3"/>
        <v>682.35858</v>
      </c>
      <c r="F102" s="1">
        <f t="shared" si="4"/>
        <v>699.38513</v>
      </c>
      <c r="G102" s="1">
        <f t="shared" si="5"/>
        <v>704.34052</v>
      </c>
      <c r="H102" s="1" t="s">
        <v>270</v>
      </c>
    </row>
    <row r="103" spans="1:8">
      <c r="A103" s="1">
        <v>102</v>
      </c>
      <c r="B103" s="1" t="s">
        <v>271</v>
      </c>
      <c r="C103" s="1" t="s">
        <v>272</v>
      </c>
      <c r="D103" s="1">
        <v>695.3669</v>
      </c>
      <c r="E103" s="1">
        <f t="shared" si="3"/>
        <v>696.37418</v>
      </c>
      <c r="F103" s="1">
        <f t="shared" si="4"/>
        <v>713.40073</v>
      </c>
      <c r="G103" s="1">
        <f t="shared" si="5"/>
        <v>718.35612</v>
      </c>
      <c r="H103" s="1" t="s">
        <v>273</v>
      </c>
    </row>
    <row r="104" spans="1:8">
      <c r="A104" s="1">
        <v>103</v>
      </c>
      <c r="B104" s="1" t="s">
        <v>274</v>
      </c>
      <c r="C104" s="1" t="s">
        <v>275</v>
      </c>
      <c r="D104" s="1">
        <v>597.3302</v>
      </c>
      <c r="E104" s="1">
        <f t="shared" si="3"/>
        <v>598.33748</v>
      </c>
      <c r="F104" s="1">
        <f t="shared" si="4"/>
        <v>615.36403</v>
      </c>
      <c r="G104" s="1">
        <f t="shared" si="5"/>
        <v>620.31942</v>
      </c>
      <c r="H104" s="1" t="s">
        <v>276</v>
      </c>
    </row>
    <row r="105" spans="1:8">
      <c r="A105" s="1">
        <v>104</v>
      </c>
      <c r="B105" s="1" t="s">
        <v>277</v>
      </c>
      <c r="C105" s="1" t="s">
        <v>278</v>
      </c>
      <c r="D105" s="1">
        <v>639.3407</v>
      </c>
      <c r="E105" s="1">
        <f t="shared" si="3"/>
        <v>640.34798</v>
      </c>
      <c r="F105" s="1">
        <f t="shared" si="4"/>
        <v>657.37453</v>
      </c>
      <c r="G105" s="1">
        <f t="shared" si="5"/>
        <v>662.32992</v>
      </c>
      <c r="H105" s="1" t="s">
        <v>279</v>
      </c>
    </row>
    <row r="106" spans="1:8">
      <c r="A106" s="1">
        <v>105</v>
      </c>
      <c r="B106" s="1" t="s">
        <v>280</v>
      </c>
      <c r="C106" s="1" t="s">
        <v>281</v>
      </c>
      <c r="D106" s="1">
        <v>611.3458</v>
      </c>
      <c r="E106" s="1">
        <f t="shared" si="3"/>
        <v>612.35308</v>
      </c>
      <c r="F106" s="1">
        <f t="shared" si="4"/>
        <v>629.37963</v>
      </c>
      <c r="G106" s="1">
        <f t="shared" si="5"/>
        <v>634.33502</v>
      </c>
      <c r="H106" s="1" t="s">
        <v>282</v>
      </c>
    </row>
    <row r="107" spans="1:8">
      <c r="A107" s="1">
        <v>106</v>
      </c>
      <c r="B107" s="1" t="s">
        <v>283</v>
      </c>
      <c r="C107" s="1" t="s">
        <v>284</v>
      </c>
      <c r="D107" s="1">
        <v>653.3564</v>
      </c>
      <c r="E107" s="1">
        <f t="shared" si="3"/>
        <v>654.36368</v>
      </c>
      <c r="F107" s="1">
        <f t="shared" si="4"/>
        <v>671.39023</v>
      </c>
      <c r="G107" s="1">
        <f t="shared" si="5"/>
        <v>676.34562</v>
      </c>
      <c r="H107" s="1" t="s">
        <v>285</v>
      </c>
    </row>
    <row r="108" spans="1:8">
      <c r="A108" s="1">
        <v>107</v>
      </c>
      <c r="B108" s="1" t="s">
        <v>286</v>
      </c>
      <c r="C108" s="1" t="s">
        <v>278</v>
      </c>
      <c r="D108" s="1">
        <v>639.3407</v>
      </c>
      <c r="E108" s="1">
        <f t="shared" si="3"/>
        <v>640.34798</v>
      </c>
      <c r="F108" s="1">
        <f t="shared" si="4"/>
        <v>657.37453</v>
      </c>
      <c r="G108" s="1">
        <f t="shared" si="5"/>
        <v>662.32992</v>
      </c>
      <c r="H108" s="1" t="s">
        <v>287</v>
      </c>
    </row>
    <row r="109" spans="1:8">
      <c r="A109" s="1">
        <v>108</v>
      </c>
      <c r="B109" s="1" t="s">
        <v>288</v>
      </c>
      <c r="C109" s="1" t="s">
        <v>269</v>
      </c>
      <c r="D109" s="1">
        <v>681.3513</v>
      </c>
      <c r="E109" s="1">
        <f t="shared" si="3"/>
        <v>682.35858</v>
      </c>
      <c r="F109" s="1">
        <f t="shared" si="4"/>
        <v>699.38513</v>
      </c>
      <c r="G109" s="1">
        <f t="shared" si="5"/>
        <v>704.34052</v>
      </c>
      <c r="H109" s="1" t="s">
        <v>289</v>
      </c>
    </row>
    <row r="110" spans="1:8">
      <c r="A110" s="1">
        <v>109</v>
      </c>
      <c r="B110" s="1" t="s">
        <v>290</v>
      </c>
      <c r="C110" s="1" t="s">
        <v>284</v>
      </c>
      <c r="D110" s="1">
        <v>653.3564</v>
      </c>
      <c r="E110" s="1">
        <f t="shared" si="3"/>
        <v>654.36368</v>
      </c>
      <c r="F110" s="1">
        <f t="shared" si="4"/>
        <v>671.39023</v>
      </c>
      <c r="G110" s="1">
        <f t="shared" si="5"/>
        <v>676.34562</v>
      </c>
      <c r="H110" s="1" t="s">
        <v>291</v>
      </c>
    </row>
    <row r="111" spans="1:8">
      <c r="A111" s="1">
        <v>110</v>
      </c>
      <c r="B111" s="1" t="s">
        <v>292</v>
      </c>
      <c r="C111" s="1" t="s">
        <v>284</v>
      </c>
      <c r="D111" s="1">
        <v>653.3564</v>
      </c>
      <c r="E111" s="1">
        <f t="shared" si="3"/>
        <v>654.36368</v>
      </c>
      <c r="F111" s="1">
        <f t="shared" si="4"/>
        <v>671.39023</v>
      </c>
      <c r="G111" s="1">
        <f t="shared" si="5"/>
        <v>676.34562</v>
      </c>
      <c r="H111" s="1" t="s">
        <v>293</v>
      </c>
    </row>
    <row r="112" spans="1:8">
      <c r="A112" s="1">
        <v>111</v>
      </c>
      <c r="B112" s="1" t="s">
        <v>294</v>
      </c>
      <c r="C112" s="1" t="s">
        <v>272</v>
      </c>
      <c r="D112" s="1">
        <v>695.3669</v>
      </c>
      <c r="E112" s="1">
        <f t="shared" si="3"/>
        <v>696.37418</v>
      </c>
      <c r="F112" s="1">
        <f t="shared" si="4"/>
        <v>713.40073</v>
      </c>
      <c r="G112" s="1">
        <f t="shared" si="5"/>
        <v>718.35612</v>
      </c>
      <c r="H112" s="1" t="s">
        <v>295</v>
      </c>
    </row>
    <row r="113" spans="1:8">
      <c r="A113" s="1">
        <v>112</v>
      </c>
      <c r="B113" s="1" t="s">
        <v>296</v>
      </c>
      <c r="C113" s="1" t="s">
        <v>297</v>
      </c>
      <c r="D113" s="1">
        <v>727.3568</v>
      </c>
      <c r="E113" s="1">
        <f t="shared" si="3"/>
        <v>728.36408</v>
      </c>
      <c r="F113" s="1">
        <f t="shared" si="4"/>
        <v>745.39063</v>
      </c>
      <c r="G113" s="1">
        <f t="shared" si="5"/>
        <v>750.34602</v>
      </c>
      <c r="H113" s="1" t="s">
        <v>298</v>
      </c>
    </row>
    <row r="114" spans="1:8">
      <c r="A114" s="1">
        <v>113</v>
      </c>
      <c r="B114" s="1" t="s">
        <v>299</v>
      </c>
      <c r="C114" s="1" t="s">
        <v>300</v>
      </c>
      <c r="D114" s="1">
        <v>769.3673</v>
      </c>
      <c r="E114" s="1">
        <f t="shared" si="3"/>
        <v>770.37458</v>
      </c>
      <c r="F114" s="1">
        <f t="shared" si="4"/>
        <v>787.40113</v>
      </c>
      <c r="G114" s="1">
        <f t="shared" si="5"/>
        <v>792.35652</v>
      </c>
      <c r="H114" s="1" t="s">
        <v>301</v>
      </c>
    </row>
    <row r="115" spans="1:8">
      <c r="A115" s="1">
        <v>114</v>
      </c>
      <c r="B115" s="1" t="s">
        <v>302</v>
      </c>
      <c r="C115" s="1" t="s">
        <v>281</v>
      </c>
      <c r="D115" s="1">
        <v>611.3458</v>
      </c>
      <c r="E115" s="1">
        <f t="shared" si="3"/>
        <v>612.35308</v>
      </c>
      <c r="F115" s="1">
        <f t="shared" si="4"/>
        <v>629.37963</v>
      </c>
      <c r="G115" s="1">
        <f t="shared" si="5"/>
        <v>634.33502</v>
      </c>
      <c r="H115" s="1" t="s">
        <v>303</v>
      </c>
    </row>
    <row r="116" spans="1:8">
      <c r="A116" s="1">
        <v>115</v>
      </c>
      <c r="B116" s="1" t="s">
        <v>304</v>
      </c>
      <c r="C116" s="1" t="s">
        <v>305</v>
      </c>
      <c r="D116" s="1">
        <v>627.3407</v>
      </c>
      <c r="E116" s="1">
        <f t="shared" si="3"/>
        <v>628.34798</v>
      </c>
      <c r="F116" s="1">
        <f t="shared" si="4"/>
        <v>645.37453</v>
      </c>
      <c r="G116" s="1">
        <f t="shared" si="5"/>
        <v>650.32992</v>
      </c>
      <c r="H116" s="1" t="s">
        <v>306</v>
      </c>
    </row>
    <row r="117" spans="1:8">
      <c r="A117" s="1">
        <v>116</v>
      </c>
      <c r="B117" s="1" t="s">
        <v>307</v>
      </c>
      <c r="C117" s="1" t="s">
        <v>308</v>
      </c>
      <c r="D117" s="1">
        <v>711.3619</v>
      </c>
      <c r="E117" s="1">
        <f t="shared" si="3"/>
        <v>712.36918</v>
      </c>
      <c r="F117" s="1">
        <f t="shared" si="4"/>
        <v>729.39573</v>
      </c>
      <c r="G117" s="1">
        <f t="shared" si="5"/>
        <v>734.35112</v>
      </c>
      <c r="H117" s="1" t="s">
        <v>309</v>
      </c>
    </row>
    <row r="118" spans="1:8">
      <c r="A118" s="1">
        <v>117</v>
      </c>
      <c r="B118" s="1" t="s">
        <v>310</v>
      </c>
      <c r="C118" s="1" t="s">
        <v>311</v>
      </c>
      <c r="D118" s="1">
        <v>785.3623</v>
      </c>
      <c r="E118" s="1">
        <f t="shared" si="3"/>
        <v>786.36958</v>
      </c>
      <c r="F118" s="1">
        <f t="shared" si="4"/>
        <v>803.39613</v>
      </c>
      <c r="G118" s="1">
        <f t="shared" si="5"/>
        <v>808.35152</v>
      </c>
      <c r="H118" s="1" t="s">
        <v>312</v>
      </c>
    </row>
    <row r="119" spans="1:8">
      <c r="A119" s="1">
        <v>118</v>
      </c>
      <c r="B119" s="1" t="s">
        <v>313</v>
      </c>
      <c r="C119" s="1" t="s">
        <v>314</v>
      </c>
      <c r="D119" s="1">
        <v>669.3513</v>
      </c>
      <c r="E119" s="1">
        <f t="shared" si="3"/>
        <v>670.35858</v>
      </c>
      <c r="F119" s="1">
        <f t="shared" si="4"/>
        <v>687.38513</v>
      </c>
      <c r="G119" s="1">
        <f t="shared" si="5"/>
        <v>692.34052</v>
      </c>
      <c r="H119" s="1" t="s">
        <v>315</v>
      </c>
    </row>
    <row r="120" spans="1:8">
      <c r="A120" s="1">
        <v>119</v>
      </c>
      <c r="B120" s="1" t="s">
        <v>316</v>
      </c>
      <c r="C120" s="1" t="s">
        <v>317</v>
      </c>
      <c r="D120" s="1">
        <v>665.32</v>
      </c>
      <c r="E120" s="1">
        <f t="shared" si="3"/>
        <v>666.32728</v>
      </c>
      <c r="F120" s="1">
        <f t="shared" si="4"/>
        <v>683.35383</v>
      </c>
      <c r="G120" s="1">
        <f t="shared" si="5"/>
        <v>688.30922</v>
      </c>
      <c r="H120" s="1" t="s">
        <v>318</v>
      </c>
    </row>
    <row r="121" spans="1:8">
      <c r="A121" s="1">
        <v>120</v>
      </c>
      <c r="B121" s="1" t="s">
        <v>319</v>
      </c>
      <c r="C121" s="1" t="s">
        <v>320</v>
      </c>
      <c r="D121" s="1">
        <v>709.3462</v>
      </c>
      <c r="E121" s="1">
        <f t="shared" si="3"/>
        <v>710.35348</v>
      </c>
      <c r="F121" s="1">
        <f t="shared" si="4"/>
        <v>727.38003</v>
      </c>
      <c r="G121" s="1">
        <f t="shared" si="5"/>
        <v>732.33542</v>
      </c>
      <c r="H121" s="4" t="s">
        <v>321</v>
      </c>
    </row>
    <row r="122" spans="1:8">
      <c r="A122" s="1">
        <v>121</v>
      </c>
      <c r="B122" s="1" t="s">
        <v>322</v>
      </c>
      <c r="C122" s="1" t="s">
        <v>323</v>
      </c>
      <c r="D122" s="1">
        <v>551.3247</v>
      </c>
      <c r="E122" s="1">
        <f t="shared" si="3"/>
        <v>552.33198</v>
      </c>
      <c r="F122" s="1">
        <f t="shared" si="4"/>
        <v>569.35853</v>
      </c>
      <c r="G122" s="1">
        <f t="shared" si="5"/>
        <v>574.31392</v>
      </c>
      <c r="H122" s="1" t="s">
        <v>324</v>
      </c>
    </row>
    <row r="123" spans="1:8">
      <c r="A123" s="1">
        <v>122</v>
      </c>
      <c r="B123" s="1" t="s">
        <v>325</v>
      </c>
      <c r="C123" s="1" t="s">
        <v>326</v>
      </c>
      <c r="D123" s="1">
        <v>567.3196</v>
      </c>
      <c r="E123" s="1">
        <f t="shared" si="3"/>
        <v>568.32688</v>
      </c>
      <c r="F123" s="1">
        <f t="shared" si="4"/>
        <v>585.35343</v>
      </c>
      <c r="G123" s="1">
        <f t="shared" si="5"/>
        <v>590.30882</v>
      </c>
      <c r="H123" s="1" t="s">
        <v>327</v>
      </c>
    </row>
    <row r="124" spans="1:8">
      <c r="A124" s="1">
        <v>123</v>
      </c>
      <c r="B124" s="1" t="s">
        <v>328</v>
      </c>
      <c r="C124" s="1" t="s">
        <v>326</v>
      </c>
      <c r="D124" s="1">
        <v>567.3196</v>
      </c>
      <c r="E124" s="1">
        <f t="shared" si="3"/>
        <v>568.32688</v>
      </c>
      <c r="F124" s="1">
        <f t="shared" si="4"/>
        <v>585.35343</v>
      </c>
      <c r="G124" s="1">
        <f t="shared" si="5"/>
        <v>590.30882</v>
      </c>
      <c r="H124" s="1" t="s">
        <v>329</v>
      </c>
    </row>
    <row r="125" spans="1:8">
      <c r="A125" s="1">
        <v>124</v>
      </c>
      <c r="B125" s="1" t="s">
        <v>330</v>
      </c>
      <c r="C125" s="1" t="s">
        <v>331</v>
      </c>
      <c r="D125" s="1">
        <v>609.3302</v>
      </c>
      <c r="E125" s="1">
        <f t="shared" si="3"/>
        <v>610.33748</v>
      </c>
      <c r="F125" s="1">
        <f t="shared" si="4"/>
        <v>627.36403</v>
      </c>
      <c r="G125" s="1">
        <f t="shared" si="5"/>
        <v>632.31942</v>
      </c>
      <c r="H125" s="1" t="s">
        <v>332</v>
      </c>
    </row>
    <row r="126" spans="1:8">
      <c r="A126" s="1">
        <v>125</v>
      </c>
      <c r="B126" s="1" t="s">
        <v>333</v>
      </c>
      <c r="C126" s="1" t="s">
        <v>331</v>
      </c>
      <c r="D126" s="1">
        <v>609.3302</v>
      </c>
      <c r="E126" s="1">
        <f t="shared" si="3"/>
        <v>610.33748</v>
      </c>
      <c r="F126" s="1">
        <f t="shared" si="4"/>
        <v>627.36403</v>
      </c>
      <c r="G126" s="1">
        <f t="shared" si="5"/>
        <v>632.31942</v>
      </c>
      <c r="H126" s="1" t="s">
        <v>334</v>
      </c>
    </row>
    <row r="127" spans="1:8">
      <c r="A127" s="1">
        <v>126</v>
      </c>
      <c r="B127" s="1" t="s">
        <v>335</v>
      </c>
      <c r="C127" s="1" t="s">
        <v>336</v>
      </c>
      <c r="D127" s="1">
        <v>609.3302</v>
      </c>
      <c r="E127" s="1">
        <f t="shared" si="3"/>
        <v>610.33748</v>
      </c>
      <c r="F127" s="1">
        <f t="shared" si="4"/>
        <v>627.36403</v>
      </c>
      <c r="G127" s="1">
        <f t="shared" si="5"/>
        <v>632.31942</v>
      </c>
      <c r="H127" s="1" t="s">
        <v>337</v>
      </c>
    </row>
    <row r="128" spans="1:8">
      <c r="A128" s="1">
        <v>127</v>
      </c>
      <c r="B128" s="1" t="s">
        <v>338</v>
      </c>
      <c r="C128" s="1" t="s">
        <v>339</v>
      </c>
      <c r="D128" s="1">
        <v>667.3356</v>
      </c>
      <c r="E128" s="1">
        <f t="shared" si="3"/>
        <v>668.34288</v>
      </c>
      <c r="F128" s="1">
        <f t="shared" si="4"/>
        <v>685.36943</v>
      </c>
      <c r="G128" s="1">
        <f t="shared" si="5"/>
        <v>690.32482</v>
      </c>
      <c r="H128" s="1" t="s">
        <v>340</v>
      </c>
    </row>
    <row r="129" spans="1:8">
      <c r="A129" s="1">
        <v>128</v>
      </c>
      <c r="B129" s="1" t="s">
        <v>341</v>
      </c>
      <c r="C129" s="1" t="s">
        <v>342</v>
      </c>
      <c r="D129" s="1">
        <v>725.3411</v>
      </c>
      <c r="E129" s="1">
        <f t="shared" si="3"/>
        <v>726.34838</v>
      </c>
      <c r="F129" s="1">
        <f t="shared" si="4"/>
        <v>743.37493</v>
      </c>
      <c r="G129" s="1">
        <f t="shared" si="5"/>
        <v>748.33032</v>
      </c>
      <c r="H129" s="1" t="s">
        <v>343</v>
      </c>
    </row>
    <row r="130" spans="1:8">
      <c r="A130" s="1">
        <v>129</v>
      </c>
      <c r="B130" s="1" t="s">
        <v>344</v>
      </c>
      <c r="C130" s="1" t="s">
        <v>345</v>
      </c>
      <c r="D130" s="1">
        <v>583.3145</v>
      </c>
      <c r="E130" s="1">
        <f t="shared" si="3"/>
        <v>584.32178</v>
      </c>
      <c r="F130" s="1">
        <f t="shared" si="4"/>
        <v>601.34833</v>
      </c>
      <c r="G130" s="1">
        <f t="shared" si="5"/>
        <v>606.30372</v>
      </c>
      <c r="H130" s="1" t="s">
        <v>346</v>
      </c>
    </row>
    <row r="131" spans="1:8">
      <c r="A131" s="1">
        <v>130</v>
      </c>
      <c r="B131" s="1" t="s">
        <v>347</v>
      </c>
      <c r="C131" s="1" t="s">
        <v>336</v>
      </c>
      <c r="D131" s="1">
        <v>625.3251</v>
      </c>
      <c r="E131" s="1">
        <f t="shared" ref="E131:E194" si="6">D131+1.00728</f>
        <v>626.33238</v>
      </c>
      <c r="F131" s="1">
        <f t="shared" ref="F131:F194" si="7">D131+18.03383</f>
        <v>643.35893</v>
      </c>
      <c r="G131" s="1">
        <f t="shared" ref="G131:G194" si="8">D131+22.98922</f>
        <v>648.31432</v>
      </c>
      <c r="H131" s="1" t="s">
        <v>348</v>
      </c>
    </row>
    <row r="132" spans="1:8">
      <c r="A132" s="1">
        <v>131</v>
      </c>
      <c r="B132" s="1" t="s">
        <v>349</v>
      </c>
      <c r="C132" s="1" t="s">
        <v>336</v>
      </c>
      <c r="D132" s="1">
        <v>625.3251</v>
      </c>
      <c r="E132" s="1">
        <f t="shared" si="6"/>
        <v>626.33238</v>
      </c>
      <c r="F132" s="1">
        <f t="shared" si="7"/>
        <v>643.35893</v>
      </c>
      <c r="G132" s="1">
        <f t="shared" si="8"/>
        <v>648.31432</v>
      </c>
      <c r="H132" s="1" t="s">
        <v>350</v>
      </c>
    </row>
    <row r="133" spans="1:8">
      <c r="A133" s="1">
        <v>132</v>
      </c>
      <c r="B133" s="1" t="s">
        <v>351</v>
      </c>
      <c r="C133" s="1" t="s">
        <v>352</v>
      </c>
      <c r="D133" s="1">
        <v>362.2457</v>
      </c>
      <c r="E133" s="1">
        <f t="shared" si="6"/>
        <v>363.25298</v>
      </c>
      <c r="F133" s="1">
        <f t="shared" si="7"/>
        <v>380.27953</v>
      </c>
      <c r="G133" s="1">
        <f t="shared" si="8"/>
        <v>385.23492</v>
      </c>
      <c r="H133" s="1" t="s">
        <v>353</v>
      </c>
    </row>
    <row r="134" spans="1:8">
      <c r="A134" s="1">
        <v>133</v>
      </c>
      <c r="B134" s="1" t="s">
        <v>354</v>
      </c>
      <c r="C134" s="1" t="s">
        <v>40</v>
      </c>
      <c r="D134" s="1">
        <v>436.2461</v>
      </c>
      <c r="E134" s="1">
        <f t="shared" si="6"/>
        <v>437.25338</v>
      </c>
      <c r="F134" s="1">
        <f t="shared" si="7"/>
        <v>454.27993</v>
      </c>
      <c r="G134" s="1">
        <f t="shared" si="8"/>
        <v>459.23532</v>
      </c>
      <c r="H134" s="1" t="s">
        <v>355</v>
      </c>
    </row>
    <row r="135" spans="1:8">
      <c r="A135" s="1">
        <v>134</v>
      </c>
      <c r="B135" s="1" t="s">
        <v>356</v>
      </c>
      <c r="C135" s="1" t="s">
        <v>50</v>
      </c>
      <c r="D135" s="1">
        <v>520.2672</v>
      </c>
      <c r="E135" s="1">
        <f t="shared" si="6"/>
        <v>521.27448</v>
      </c>
      <c r="F135" s="1">
        <f t="shared" si="7"/>
        <v>538.30103</v>
      </c>
      <c r="G135" s="1">
        <f t="shared" si="8"/>
        <v>543.25642</v>
      </c>
      <c r="H135" s="1" t="s">
        <v>357</v>
      </c>
    </row>
    <row r="136" spans="1:8">
      <c r="A136" s="1">
        <v>135</v>
      </c>
      <c r="B136" s="1" t="s">
        <v>358</v>
      </c>
      <c r="C136" s="1" t="s">
        <v>359</v>
      </c>
      <c r="D136" s="1">
        <v>682.3201</v>
      </c>
      <c r="E136" s="1">
        <f t="shared" si="6"/>
        <v>683.32738</v>
      </c>
      <c r="F136" s="1">
        <f t="shared" si="7"/>
        <v>700.35393</v>
      </c>
      <c r="G136" s="1">
        <f t="shared" si="8"/>
        <v>705.30932</v>
      </c>
      <c r="H136" s="1" t="s">
        <v>360</v>
      </c>
    </row>
    <row r="137" spans="1:8">
      <c r="A137" s="1">
        <v>136</v>
      </c>
      <c r="B137" s="1" t="s">
        <v>361</v>
      </c>
      <c r="C137" s="1" t="s">
        <v>40</v>
      </c>
      <c r="D137" s="1">
        <v>436.2461</v>
      </c>
      <c r="E137" s="1">
        <f t="shared" si="6"/>
        <v>437.25338</v>
      </c>
      <c r="F137" s="1">
        <f t="shared" si="7"/>
        <v>454.27993</v>
      </c>
      <c r="G137" s="1">
        <f t="shared" si="8"/>
        <v>459.23532</v>
      </c>
      <c r="H137" s="1" t="s">
        <v>362</v>
      </c>
    </row>
    <row r="138" spans="1:8">
      <c r="A138" s="1">
        <v>137</v>
      </c>
      <c r="B138" s="1" t="s">
        <v>363</v>
      </c>
      <c r="C138" s="1" t="s">
        <v>364</v>
      </c>
      <c r="D138" s="1">
        <v>378.2406</v>
      </c>
      <c r="E138" s="1">
        <f t="shared" si="6"/>
        <v>379.24788</v>
      </c>
      <c r="F138" s="1">
        <f t="shared" si="7"/>
        <v>396.27443</v>
      </c>
      <c r="G138" s="1">
        <f t="shared" si="8"/>
        <v>401.22982</v>
      </c>
      <c r="H138" s="1" t="s">
        <v>365</v>
      </c>
    </row>
    <row r="139" spans="1:8">
      <c r="A139" s="1">
        <v>138</v>
      </c>
      <c r="B139" s="1" t="s">
        <v>366</v>
      </c>
      <c r="C139" s="1" t="s">
        <v>22</v>
      </c>
      <c r="D139" s="1">
        <v>462.2618</v>
      </c>
      <c r="E139" s="1">
        <f t="shared" si="6"/>
        <v>463.26908</v>
      </c>
      <c r="F139" s="1">
        <f t="shared" si="7"/>
        <v>480.29563</v>
      </c>
      <c r="G139" s="1">
        <f t="shared" si="8"/>
        <v>485.25102</v>
      </c>
      <c r="H139" s="1" t="s">
        <v>367</v>
      </c>
    </row>
    <row r="140" spans="1:8">
      <c r="A140" s="1">
        <v>139</v>
      </c>
      <c r="B140" s="1" t="s">
        <v>368</v>
      </c>
      <c r="C140" s="1" t="s">
        <v>369</v>
      </c>
      <c r="D140" s="1">
        <v>434.2668</v>
      </c>
      <c r="E140" s="1">
        <f t="shared" si="6"/>
        <v>435.27408</v>
      </c>
      <c r="F140" s="1">
        <f t="shared" si="7"/>
        <v>452.30063</v>
      </c>
      <c r="G140" s="1">
        <f t="shared" si="8"/>
        <v>457.25602</v>
      </c>
      <c r="H140" s="1" t="s">
        <v>370</v>
      </c>
    </row>
    <row r="141" spans="1:8">
      <c r="A141" s="1">
        <v>140</v>
      </c>
      <c r="B141" s="1" t="s">
        <v>371</v>
      </c>
      <c r="C141" s="1" t="s">
        <v>372</v>
      </c>
      <c r="D141" s="1">
        <v>406.2719</v>
      </c>
      <c r="E141" s="1">
        <f t="shared" si="6"/>
        <v>407.27918</v>
      </c>
      <c r="F141" s="1">
        <f t="shared" si="7"/>
        <v>424.30573</v>
      </c>
      <c r="G141" s="1">
        <f t="shared" si="8"/>
        <v>429.26112</v>
      </c>
      <c r="H141" s="1" t="s">
        <v>373</v>
      </c>
    </row>
    <row r="142" spans="1:8">
      <c r="A142" s="1">
        <v>141</v>
      </c>
      <c r="B142" s="1" t="s">
        <v>374</v>
      </c>
      <c r="C142" s="1" t="s">
        <v>364</v>
      </c>
      <c r="D142" s="1">
        <v>378.24063</v>
      </c>
      <c r="E142" s="1">
        <f t="shared" si="6"/>
        <v>379.24791</v>
      </c>
      <c r="F142" s="1">
        <f t="shared" si="7"/>
        <v>396.27446</v>
      </c>
      <c r="G142" s="1">
        <f t="shared" si="8"/>
        <v>401.22985</v>
      </c>
      <c r="H142" s="1" t="s">
        <v>375</v>
      </c>
    </row>
    <row r="143" spans="1:8">
      <c r="A143" s="1">
        <v>142</v>
      </c>
      <c r="B143" s="1" t="s">
        <v>376</v>
      </c>
      <c r="C143" s="1" t="s">
        <v>15</v>
      </c>
      <c r="D143" s="1">
        <v>420.2512</v>
      </c>
      <c r="E143" s="1">
        <f t="shared" si="6"/>
        <v>421.25848</v>
      </c>
      <c r="F143" s="1">
        <f t="shared" si="7"/>
        <v>438.28503</v>
      </c>
      <c r="G143" s="1">
        <f t="shared" si="8"/>
        <v>443.24042</v>
      </c>
      <c r="H143" s="1" t="s">
        <v>377</v>
      </c>
    </row>
    <row r="144" spans="1:8">
      <c r="A144" s="1">
        <v>143</v>
      </c>
      <c r="B144" s="1" t="s">
        <v>378</v>
      </c>
      <c r="C144" s="1" t="s">
        <v>379</v>
      </c>
      <c r="D144" s="1">
        <v>462.2981</v>
      </c>
      <c r="E144" s="1">
        <f t="shared" si="6"/>
        <v>463.30538</v>
      </c>
      <c r="F144" s="1">
        <f t="shared" si="7"/>
        <v>480.33193</v>
      </c>
      <c r="G144" s="1">
        <f t="shared" si="8"/>
        <v>485.28732</v>
      </c>
      <c r="H144" s="1" t="s">
        <v>380</v>
      </c>
    </row>
    <row r="145" spans="1:8">
      <c r="A145" s="1">
        <v>144</v>
      </c>
      <c r="B145" s="1" t="s">
        <v>381</v>
      </c>
      <c r="C145" s="1" t="s">
        <v>382</v>
      </c>
      <c r="D145" s="1">
        <v>520.3036</v>
      </c>
      <c r="E145" s="1">
        <f t="shared" si="6"/>
        <v>521.31088</v>
      </c>
      <c r="F145" s="1">
        <f t="shared" si="7"/>
        <v>538.33743</v>
      </c>
      <c r="G145" s="1">
        <f t="shared" si="8"/>
        <v>543.29282</v>
      </c>
      <c r="H145" s="1" t="s">
        <v>383</v>
      </c>
    </row>
    <row r="146" spans="1:8">
      <c r="A146" s="1">
        <v>145</v>
      </c>
      <c r="B146" s="1" t="s">
        <v>384</v>
      </c>
      <c r="C146" s="1" t="s">
        <v>369</v>
      </c>
      <c r="D146" s="1">
        <v>434.2668</v>
      </c>
      <c r="E146" s="1">
        <f t="shared" si="6"/>
        <v>435.27408</v>
      </c>
      <c r="F146" s="1">
        <f t="shared" si="7"/>
        <v>452.30063</v>
      </c>
      <c r="G146" s="1">
        <f t="shared" si="8"/>
        <v>457.25602</v>
      </c>
      <c r="H146" s="1" t="s">
        <v>385</v>
      </c>
    </row>
    <row r="147" spans="1:8">
      <c r="A147" s="1">
        <v>146</v>
      </c>
      <c r="B147" s="1" t="s">
        <v>386</v>
      </c>
      <c r="C147" s="1" t="s">
        <v>387</v>
      </c>
      <c r="D147" s="1">
        <v>448.2825</v>
      </c>
      <c r="E147" s="1">
        <f t="shared" si="6"/>
        <v>449.28978</v>
      </c>
      <c r="F147" s="1">
        <f t="shared" si="7"/>
        <v>466.31633</v>
      </c>
      <c r="G147" s="1">
        <f t="shared" si="8"/>
        <v>471.27172</v>
      </c>
      <c r="H147" s="1" t="s">
        <v>388</v>
      </c>
    </row>
    <row r="148" spans="1:8">
      <c r="A148" s="1">
        <v>147</v>
      </c>
      <c r="B148" s="1" t="s">
        <v>389</v>
      </c>
      <c r="C148" s="1" t="s">
        <v>387</v>
      </c>
      <c r="D148" s="1">
        <v>448.2825</v>
      </c>
      <c r="E148" s="1">
        <f t="shared" si="6"/>
        <v>449.28978</v>
      </c>
      <c r="F148" s="1">
        <f t="shared" si="7"/>
        <v>466.31633</v>
      </c>
      <c r="G148" s="1">
        <f t="shared" si="8"/>
        <v>471.27172</v>
      </c>
      <c r="H148" s="1" t="s">
        <v>390</v>
      </c>
    </row>
    <row r="149" spans="1:8">
      <c r="A149" s="1">
        <v>148</v>
      </c>
      <c r="B149" s="1" t="s">
        <v>391</v>
      </c>
      <c r="C149" s="1" t="s">
        <v>392</v>
      </c>
      <c r="D149" s="1">
        <v>582.304</v>
      </c>
      <c r="E149" s="1">
        <f t="shared" si="6"/>
        <v>583.31128</v>
      </c>
      <c r="F149" s="1">
        <f t="shared" si="7"/>
        <v>600.33783</v>
      </c>
      <c r="G149" s="1">
        <f t="shared" si="8"/>
        <v>605.29322</v>
      </c>
      <c r="H149" s="1" t="s">
        <v>393</v>
      </c>
    </row>
    <row r="150" spans="1:8">
      <c r="A150" s="1">
        <v>149</v>
      </c>
      <c r="B150" s="1" t="s">
        <v>394</v>
      </c>
      <c r="C150" s="1" t="s">
        <v>153</v>
      </c>
      <c r="D150" s="1">
        <v>562.3142</v>
      </c>
      <c r="E150" s="1">
        <f t="shared" si="6"/>
        <v>563.32148</v>
      </c>
      <c r="F150" s="1">
        <f t="shared" si="7"/>
        <v>580.34803</v>
      </c>
      <c r="G150" s="1">
        <f t="shared" si="8"/>
        <v>585.30342</v>
      </c>
      <c r="H150" s="1" t="s">
        <v>395</v>
      </c>
    </row>
    <row r="151" spans="1:8">
      <c r="A151" s="1">
        <v>150</v>
      </c>
      <c r="B151" s="1" t="s">
        <v>396</v>
      </c>
      <c r="C151" s="1" t="s">
        <v>397</v>
      </c>
      <c r="D151" s="1">
        <v>504.3087</v>
      </c>
      <c r="E151" s="1">
        <f t="shared" si="6"/>
        <v>505.31598</v>
      </c>
      <c r="F151" s="1">
        <f t="shared" si="7"/>
        <v>522.34253</v>
      </c>
      <c r="G151" s="1">
        <f t="shared" si="8"/>
        <v>527.29792</v>
      </c>
      <c r="H151" s="1" t="s">
        <v>398</v>
      </c>
    </row>
    <row r="152" spans="1:8">
      <c r="A152" s="1">
        <v>151</v>
      </c>
      <c r="B152" s="1" t="s">
        <v>399</v>
      </c>
      <c r="C152" s="1" t="s">
        <v>400</v>
      </c>
      <c r="D152" s="1">
        <v>476.2774</v>
      </c>
      <c r="E152" s="1">
        <f t="shared" si="6"/>
        <v>477.28468</v>
      </c>
      <c r="F152" s="1">
        <f t="shared" si="7"/>
        <v>494.31123</v>
      </c>
      <c r="G152" s="1">
        <f t="shared" si="8"/>
        <v>499.26662</v>
      </c>
      <c r="H152" s="1" t="s">
        <v>401</v>
      </c>
    </row>
    <row r="153" spans="1:8">
      <c r="A153" s="1">
        <v>152</v>
      </c>
      <c r="B153" s="1" t="s">
        <v>402</v>
      </c>
      <c r="C153" s="1" t="s">
        <v>15</v>
      </c>
      <c r="D153" s="1">
        <v>420.2512</v>
      </c>
      <c r="E153" s="1">
        <f t="shared" si="6"/>
        <v>421.25848</v>
      </c>
      <c r="F153" s="1">
        <f t="shared" si="7"/>
        <v>438.28503</v>
      </c>
      <c r="G153" s="1">
        <f t="shared" si="8"/>
        <v>443.24042</v>
      </c>
      <c r="H153" s="1" t="s">
        <v>403</v>
      </c>
    </row>
    <row r="154" spans="1:8">
      <c r="A154" s="1">
        <v>153</v>
      </c>
      <c r="B154" s="1" t="s">
        <v>404</v>
      </c>
      <c r="C154" s="1" t="s">
        <v>382</v>
      </c>
      <c r="D154" s="4">
        <v>490.2931</v>
      </c>
      <c r="E154" s="4">
        <f t="shared" si="6"/>
        <v>491.30038</v>
      </c>
      <c r="F154" s="4">
        <f t="shared" si="7"/>
        <v>508.32693</v>
      </c>
      <c r="G154" s="1">
        <f t="shared" si="8"/>
        <v>513.28232</v>
      </c>
      <c r="H154" s="1" t="s">
        <v>405</v>
      </c>
    </row>
    <row r="155" spans="1:8">
      <c r="A155" s="1">
        <v>154</v>
      </c>
      <c r="B155" s="1" t="s">
        <v>406</v>
      </c>
      <c r="C155" s="1" t="s">
        <v>407</v>
      </c>
      <c r="D155" s="1">
        <v>518.3244</v>
      </c>
      <c r="E155" s="1">
        <f t="shared" si="6"/>
        <v>519.33168</v>
      </c>
      <c r="F155" s="1">
        <f t="shared" si="7"/>
        <v>536.35823</v>
      </c>
      <c r="G155" s="1">
        <f t="shared" si="8"/>
        <v>541.31362</v>
      </c>
      <c r="H155" s="1" t="s">
        <v>408</v>
      </c>
    </row>
    <row r="156" spans="1:8">
      <c r="A156" s="1">
        <v>155</v>
      </c>
      <c r="B156" s="1" t="s">
        <v>409</v>
      </c>
      <c r="C156" s="1" t="s">
        <v>25</v>
      </c>
      <c r="D156" s="1">
        <v>504.2723</v>
      </c>
      <c r="E156" s="1">
        <f t="shared" si="6"/>
        <v>505.27958</v>
      </c>
      <c r="F156" s="1">
        <f t="shared" si="7"/>
        <v>522.30613</v>
      </c>
      <c r="G156" s="1">
        <f t="shared" si="8"/>
        <v>527.26152</v>
      </c>
      <c r="H156" s="1" t="s">
        <v>410</v>
      </c>
    </row>
    <row r="157" spans="1:8">
      <c r="A157" s="1">
        <v>156</v>
      </c>
      <c r="B157" s="1" t="s">
        <v>411</v>
      </c>
      <c r="C157" s="1" t="s">
        <v>150</v>
      </c>
      <c r="D157" s="1">
        <v>546.3193</v>
      </c>
      <c r="E157" s="1">
        <f t="shared" si="6"/>
        <v>547.32658</v>
      </c>
      <c r="F157" s="1">
        <f t="shared" si="7"/>
        <v>564.35313</v>
      </c>
      <c r="G157" s="1">
        <f t="shared" si="8"/>
        <v>569.30852</v>
      </c>
      <c r="H157" s="1" t="s">
        <v>412</v>
      </c>
    </row>
    <row r="158" spans="1:11">
      <c r="A158" s="3">
        <v>157</v>
      </c>
      <c r="B158" s="3" t="s">
        <v>413</v>
      </c>
      <c r="C158" s="3" t="s">
        <v>153</v>
      </c>
      <c r="D158" s="3">
        <v>562.3142</v>
      </c>
      <c r="E158" s="3">
        <f t="shared" si="6"/>
        <v>563.32148</v>
      </c>
      <c r="F158" s="3">
        <f t="shared" si="7"/>
        <v>580.34803</v>
      </c>
      <c r="G158" s="3">
        <f t="shared" si="8"/>
        <v>585.30342</v>
      </c>
      <c r="H158" s="3" t="s">
        <v>414</v>
      </c>
      <c r="I158" s="3"/>
      <c r="J158" s="3"/>
      <c r="K158" s="8"/>
    </row>
    <row r="159" spans="1:8">
      <c r="A159" s="1">
        <v>158</v>
      </c>
      <c r="B159" s="1" t="s">
        <v>415</v>
      </c>
      <c r="C159" s="1" t="s">
        <v>416</v>
      </c>
      <c r="D159" s="1">
        <v>518.288</v>
      </c>
      <c r="E159" s="1">
        <f t="shared" si="6"/>
        <v>519.29528</v>
      </c>
      <c r="F159" s="1">
        <f t="shared" si="7"/>
        <v>536.32183</v>
      </c>
      <c r="G159" s="1">
        <f t="shared" si="8"/>
        <v>541.27722</v>
      </c>
      <c r="H159" s="1" t="s">
        <v>417</v>
      </c>
    </row>
    <row r="160" spans="1:8">
      <c r="A160" s="1">
        <v>159</v>
      </c>
      <c r="B160" s="1" t="s">
        <v>418</v>
      </c>
      <c r="C160" s="1" t="s">
        <v>419</v>
      </c>
      <c r="D160" s="1">
        <v>532.30362</v>
      </c>
      <c r="E160" s="1">
        <f t="shared" si="6"/>
        <v>533.3109</v>
      </c>
      <c r="F160" s="1">
        <f t="shared" si="7"/>
        <v>550.33745</v>
      </c>
      <c r="G160" s="1">
        <f t="shared" si="8"/>
        <v>555.29284</v>
      </c>
      <c r="H160" s="1" t="s">
        <v>420</v>
      </c>
    </row>
    <row r="161" spans="1:8">
      <c r="A161" s="1">
        <v>160</v>
      </c>
      <c r="B161" s="1" t="s">
        <v>421</v>
      </c>
      <c r="C161" s="1" t="s">
        <v>422</v>
      </c>
      <c r="D161" s="1">
        <v>624.3146</v>
      </c>
      <c r="E161" s="1">
        <f t="shared" si="6"/>
        <v>625.32188</v>
      </c>
      <c r="F161" s="1">
        <f t="shared" si="7"/>
        <v>642.34843</v>
      </c>
      <c r="G161" s="1">
        <f t="shared" si="8"/>
        <v>647.30382</v>
      </c>
      <c r="H161" s="1" t="s">
        <v>423</v>
      </c>
    </row>
    <row r="162" spans="1:8">
      <c r="A162" s="1">
        <v>161</v>
      </c>
      <c r="B162" s="1" t="s">
        <v>424</v>
      </c>
      <c r="C162" s="1" t="s">
        <v>425</v>
      </c>
      <c r="D162" s="1">
        <v>666.3615</v>
      </c>
      <c r="E162" s="1">
        <f t="shared" si="6"/>
        <v>667.36878</v>
      </c>
      <c r="F162" s="1">
        <f t="shared" si="7"/>
        <v>684.39533</v>
      </c>
      <c r="G162" s="1">
        <f t="shared" si="8"/>
        <v>689.35072</v>
      </c>
      <c r="H162" s="1" t="s">
        <v>426</v>
      </c>
    </row>
    <row r="163" spans="1:8">
      <c r="A163" s="1">
        <v>162</v>
      </c>
      <c r="B163" s="1" t="s">
        <v>427</v>
      </c>
      <c r="C163" s="1" t="s">
        <v>428</v>
      </c>
      <c r="D163" s="1">
        <v>682.3565</v>
      </c>
      <c r="E163" s="1">
        <f t="shared" si="6"/>
        <v>683.36378</v>
      </c>
      <c r="F163" s="1">
        <f t="shared" si="7"/>
        <v>700.39033</v>
      </c>
      <c r="G163" s="1">
        <f t="shared" si="8"/>
        <v>705.34572</v>
      </c>
      <c r="H163" s="1" t="s">
        <v>429</v>
      </c>
    </row>
    <row r="164" spans="1:8">
      <c r="A164" s="1">
        <v>163</v>
      </c>
      <c r="B164" s="1" t="s">
        <v>430</v>
      </c>
      <c r="C164" s="1" t="s">
        <v>153</v>
      </c>
      <c r="D164" s="1">
        <v>562.3142</v>
      </c>
      <c r="E164" s="1">
        <f t="shared" si="6"/>
        <v>563.32148</v>
      </c>
      <c r="F164" s="1">
        <f t="shared" si="7"/>
        <v>580.34803</v>
      </c>
      <c r="G164" s="1">
        <f t="shared" si="8"/>
        <v>585.30342</v>
      </c>
      <c r="H164" s="1" t="s">
        <v>431</v>
      </c>
    </row>
    <row r="165" spans="1:8">
      <c r="A165" s="1">
        <v>164</v>
      </c>
      <c r="B165" s="1" t="s">
        <v>432</v>
      </c>
      <c r="C165" s="1" t="s">
        <v>43</v>
      </c>
      <c r="D165" s="1">
        <v>478.2567</v>
      </c>
      <c r="E165" s="1">
        <f t="shared" si="6"/>
        <v>479.26398</v>
      </c>
      <c r="F165" s="1">
        <f t="shared" si="7"/>
        <v>496.29053</v>
      </c>
      <c r="G165" s="1">
        <f t="shared" si="8"/>
        <v>501.24592</v>
      </c>
      <c r="H165" s="1" t="s">
        <v>433</v>
      </c>
    </row>
    <row r="166" spans="1:8">
      <c r="A166" s="1">
        <v>165</v>
      </c>
      <c r="B166" s="1" t="s">
        <v>434</v>
      </c>
      <c r="C166" s="1" t="s">
        <v>34</v>
      </c>
      <c r="D166" s="1">
        <v>562.2778</v>
      </c>
      <c r="E166" s="1">
        <f t="shared" si="6"/>
        <v>563.28508</v>
      </c>
      <c r="F166" s="1">
        <f t="shared" si="7"/>
        <v>580.31163</v>
      </c>
      <c r="G166" s="1">
        <f t="shared" si="8"/>
        <v>585.26702</v>
      </c>
      <c r="H166" s="1" t="s">
        <v>435</v>
      </c>
    </row>
    <row r="167" spans="1:8">
      <c r="A167" s="1">
        <v>166</v>
      </c>
      <c r="B167" s="1" t="s">
        <v>436</v>
      </c>
      <c r="C167" s="1" t="s">
        <v>156</v>
      </c>
      <c r="D167" s="1">
        <v>604.3247</v>
      </c>
      <c r="E167" s="1">
        <f t="shared" si="6"/>
        <v>605.33198</v>
      </c>
      <c r="F167" s="1">
        <f t="shared" si="7"/>
        <v>622.35853</v>
      </c>
      <c r="G167" s="1">
        <f t="shared" si="8"/>
        <v>627.31392</v>
      </c>
      <c r="H167" s="1" t="s">
        <v>437</v>
      </c>
    </row>
    <row r="168" spans="1:8">
      <c r="A168" s="1">
        <v>167</v>
      </c>
      <c r="B168" s="1" t="s">
        <v>438</v>
      </c>
      <c r="C168" s="1" t="s">
        <v>50</v>
      </c>
      <c r="D168" s="1">
        <v>520.2672</v>
      </c>
      <c r="E168" s="1">
        <f t="shared" si="6"/>
        <v>521.27448</v>
      </c>
      <c r="F168" s="1">
        <f t="shared" si="7"/>
        <v>538.30103</v>
      </c>
      <c r="G168" s="1">
        <f t="shared" si="8"/>
        <v>543.25642</v>
      </c>
      <c r="H168" s="1" t="s">
        <v>439</v>
      </c>
    </row>
    <row r="169" spans="1:8">
      <c r="A169" s="1">
        <v>168</v>
      </c>
      <c r="B169" s="1" t="s">
        <v>440</v>
      </c>
      <c r="C169" s="1" t="s">
        <v>441</v>
      </c>
      <c r="D169" s="1">
        <v>452.241</v>
      </c>
      <c r="E169" s="1">
        <f t="shared" si="6"/>
        <v>453.24828</v>
      </c>
      <c r="F169" s="1">
        <f t="shared" si="7"/>
        <v>470.27483</v>
      </c>
      <c r="G169" s="1">
        <f t="shared" si="8"/>
        <v>475.23022</v>
      </c>
      <c r="H169" s="1" t="s">
        <v>442</v>
      </c>
    </row>
    <row r="170" spans="1:8">
      <c r="A170" s="1">
        <v>169</v>
      </c>
      <c r="B170" s="1" t="s">
        <v>443</v>
      </c>
      <c r="C170" s="1" t="s">
        <v>444</v>
      </c>
      <c r="D170" s="1">
        <v>526.2414</v>
      </c>
      <c r="E170" s="1">
        <f t="shared" si="6"/>
        <v>527.24868</v>
      </c>
      <c r="F170" s="1">
        <f t="shared" si="7"/>
        <v>544.27523</v>
      </c>
      <c r="G170" s="1">
        <f t="shared" si="8"/>
        <v>549.23062</v>
      </c>
      <c r="H170" s="1" t="s">
        <v>445</v>
      </c>
    </row>
    <row r="171" spans="1:8">
      <c r="A171" s="1">
        <v>170</v>
      </c>
      <c r="B171" s="1" t="s">
        <v>446</v>
      </c>
      <c r="C171" s="1" t="s">
        <v>447</v>
      </c>
      <c r="D171" s="1">
        <v>568.25198</v>
      </c>
      <c r="E171" s="1">
        <f t="shared" si="6"/>
        <v>569.25926</v>
      </c>
      <c r="F171" s="1">
        <f t="shared" si="7"/>
        <v>586.28581</v>
      </c>
      <c r="G171" s="1">
        <f t="shared" si="8"/>
        <v>591.2412</v>
      </c>
      <c r="H171" s="1" t="s">
        <v>448</v>
      </c>
    </row>
    <row r="172" spans="1:8">
      <c r="A172" s="1">
        <v>171</v>
      </c>
      <c r="B172" s="1" t="s">
        <v>449</v>
      </c>
      <c r="C172" s="1" t="s">
        <v>447</v>
      </c>
      <c r="D172" s="1">
        <v>568.25198</v>
      </c>
      <c r="E172" s="1">
        <f t="shared" si="6"/>
        <v>569.25926</v>
      </c>
      <c r="F172" s="1">
        <f t="shared" si="7"/>
        <v>586.28581</v>
      </c>
      <c r="G172" s="1">
        <f t="shared" si="8"/>
        <v>591.2412</v>
      </c>
      <c r="H172" s="1" t="s">
        <v>450</v>
      </c>
    </row>
    <row r="173" spans="1:8">
      <c r="A173" s="1">
        <v>172</v>
      </c>
      <c r="B173" s="1" t="s">
        <v>451</v>
      </c>
      <c r="C173" s="1" t="s">
        <v>444</v>
      </c>
      <c r="D173" s="1">
        <v>526.2414</v>
      </c>
      <c r="E173" s="1">
        <f t="shared" si="6"/>
        <v>527.24868</v>
      </c>
      <c r="F173" s="1">
        <f t="shared" si="7"/>
        <v>544.27523</v>
      </c>
      <c r="G173" s="1">
        <f t="shared" si="8"/>
        <v>549.23062</v>
      </c>
      <c r="H173" s="1" t="s">
        <v>452</v>
      </c>
    </row>
    <row r="174" spans="1:8">
      <c r="A174" s="1">
        <v>173</v>
      </c>
      <c r="B174" s="1" t="s">
        <v>453</v>
      </c>
      <c r="C174" s="1" t="s">
        <v>454</v>
      </c>
      <c r="D174" s="1">
        <v>526.2414</v>
      </c>
      <c r="E174" s="1">
        <f t="shared" si="6"/>
        <v>527.24868</v>
      </c>
      <c r="F174" s="1">
        <f t="shared" si="7"/>
        <v>544.27523</v>
      </c>
      <c r="G174" s="1">
        <f t="shared" si="8"/>
        <v>549.23062</v>
      </c>
      <c r="H174" s="1" t="s">
        <v>455</v>
      </c>
    </row>
    <row r="175" spans="1:11">
      <c r="A175" s="3">
        <v>174</v>
      </c>
      <c r="B175" s="3" t="s">
        <v>456</v>
      </c>
      <c r="C175" s="3" t="s">
        <v>447</v>
      </c>
      <c r="D175" s="3">
        <v>568.252</v>
      </c>
      <c r="E175" s="3">
        <f t="shared" si="6"/>
        <v>569.25928</v>
      </c>
      <c r="F175" s="3">
        <f t="shared" si="7"/>
        <v>586.28583</v>
      </c>
      <c r="G175" s="3">
        <f t="shared" si="8"/>
        <v>591.24122</v>
      </c>
      <c r="H175" s="3" t="s">
        <v>457</v>
      </c>
      <c r="I175" s="3"/>
      <c r="J175" s="3"/>
      <c r="K175" s="8"/>
    </row>
    <row r="176" spans="1:8">
      <c r="A176" s="1">
        <v>175</v>
      </c>
      <c r="B176" s="1" t="s">
        <v>458</v>
      </c>
      <c r="C176" s="1" t="s">
        <v>447</v>
      </c>
      <c r="D176" s="1">
        <v>568.252</v>
      </c>
      <c r="E176" s="1">
        <f t="shared" si="6"/>
        <v>569.25928</v>
      </c>
      <c r="F176" s="1">
        <f t="shared" si="7"/>
        <v>586.28583</v>
      </c>
      <c r="G176" s="1">
        <f t="shared" si="8"/>
        <v>591.24122</v>
      </c>
      <c r="H176" s="1" t="s">
        <v>459</v>
      </c>
    </row>
    <row r="177" spans="1:8">
      <c r="A177" s="1">
        <v>176</v>
      </c>
      <c r="B177" s="1" t="s">
        <v>460</v>
      </c>
      <c r="C177" s="1" t="s">
        <v>37</v>
      </c>
      <c r="D177" s="1">
        <v>610.2625</v>
      </c>
      <c r="E177" s="1">
        <f t="shared" si="6"/>
        <v>611.26978</v>
      </c>
      <c r="F177" s="1">
        <f t="shared" si="7"/>
        <v>628.29633</v>
      </c>
      <c r="G177" s="1">
        <f t="shared" si="8"/>
        <v>633.25172</v>
      </c>
      <c r="H177" s="1" t="s">
        <v>461</v>
      </c>
    </row>
    <row r="178" spans="1:8">
      <c r="A178" s="1">
        <v>177</v>
      </c>
      <c r="B178" s="1" t="s">
        <v>462</v>
      </c>
      <c r="C178" s="1" t="s">
        <v>37</v>
      </c>
      <c r="D178" s="1">
        <v>610.2625</v>
      </c>
      <c r="E178" s="1">
        <f t="shared" si="6"/>
        <v>611.26978</v>
      </c>
      <c r="F178" s="1">
        <f t="shared" si="7"/>
        <v>628.29633</v>
      </c>
      <c r="G178" s="1">
        <f t="shared" si="8"/>
        <v>633.25172</v>
      </c>
      <c r="H178" s="1" t="s">
        <v>463</v>
      </c>
    </row>
    <row r="179" spans="1:8">
      <c r="A179" s="1">
        <v>178</v>
      </c>
      <c r="B179" s="1" t="s">
        <v>464</v>
      </c>
      <c r="C179" s="1" t="s">
        <v>37</v>
      </c>
      <c r="D179" s="1">
        <v>610.2625</v>
      </c>
      <c r="E179" s="1">
        <f t="shared" si="6"/>
        <v>611.26978</v>
      </c>
      <c r="F179" s="1">
        <f t="shared" si="7"/>
        <v>628.29633</v>
      </c>
      <c r="G179" s="1">
        <f t="shared" si="8"/>
        <v>633.25172</v>
      </c>
      <c r="H179" s="1" t="s">
        <v>465</v>
      </c>
    </row>
    <row r="180" spans="1:8">
      <c r="A180" s="1">
        <v>179</v>
      </c>
      <c r="B180" s="1" t="s">
        <v>466</v>
      </c>
      <c r="C180" s="1" t="s">
        <v>37</v>
      </c>
      <c r="D180" s="4">
        <v>610.2625</v>
      </c>
      <c r="E180" s="4">
        <f t="shared" si="6"/>
        <v>611.26978</v>
      </c>
      <c r="F180" s="4">
        <f t="shared" si="7"/>
        <v>628.29633</v>
      </c>
      <c r="G180" s="4">
        <f t="shared" si="8"/>
        <v>633.25172</v>
      </c>
      <c r="H180" s="4" t="s">
        <v>467</v>
      </c>
    </row>
    <row r="181" spans="1:8">
      <c r="A181" s="1">
        <v>180</v>
      </c>
      <c r="B181" s="1" t="s">
        <v>468</v>
      </c>
      <c r="C181" s="1" t="s">
        <v>37</v>
      </c>
      <c r="D181" s="4">
        <v>610.2625</v>
      </c>
      <c r="E181" s="4">
        <f t="shared" si="6"/>
        <v>611.26978</v>
      </c>
      <c r="F181" s="4">
        <f t="shared" si="7"/>
        <v>628.29633</v>
      </c>
      <c r="G181" s="4">
        <f t="shared" si="8"/>
        <v>633.25172</v>
      </c>
      <c r="H181" s="4" t="s">
        <v>469</v>
      </c>
    </row>
    <row r="182" spans="1:8">
      <c r="A182" s="1">
        <v>181</v>
      </c>
      <c r="B182" s="1" t="s">
        <v>470</v>
      </c>
      <c r="C182" s="1" t="s">
        <v>471</v>
      </c>
      <c r="D182" s="4">
        <v>636.2782</v>
      </c>
      <c r="E182" s="4">
        <f t="shared" si="6"/>
        <v>637.28548</v>
      </c>
      <c r="F182" s="4">
        <f t="shared" si="7"/>
        <v>654.31203</v>
      </c>
      <c r="G182" s="1">
        <f t="shared" si="8"/>
        <v>659.26742</v>
      </c>
      <c r="H182" s="1" t="s">
        <v>472</v>
      </c>
    </row>
    <row r="183" spans="1:11">
      <c r="A183" s="3">
        <v>182</v>
      </c>
      <c r="B183" s="3" t="s">
        <v>473</v>
      </c>
      <c r="C183" s="3" t="s">
        <v>474</v>
      </c>
      <c r="D183" s="3">
        <v>652.2731</v>
      </c>
      <c r="E183" s="3">
        <f t="shared" si="6"/>
        <v>653.28038</v>
      </c>
      <c r="F183" s="3">
        <f t="shared" si="7"/>
        <v>670.30693</v>
      </c>
      <c r="G183" s="3">
        <f t="shared" si="8"/>
        <v>675.26232</v>
      </c>
      <c r="H183" s="3" t="s">
        <v>475</v>
      </c>
      <c r="I183" s="3"/>
      <c r="J183" s="3"/>
      <c r="K183" s="8"/>
    </row>
    <row r="184" spans="1:8">
      <c r="A184" s="1">
        <v>183</v>
      </c>
      <c r="B184" s="1" t="s">
        <v>476</v>
      </c>
      <c r="C184" s="1" t="s">
        <v>474</v>
      </c>
      <c r="D184" s="1">
        <v>652.2731</v>
      </c>
      <c r="E184" s="1">
        <f t="shared" si="6"/>
        <v>653.28038</v>
      </c>
      <c r="F184" s="1">
        <f t="shared" si="7"/>
        <v>670.30693</v>
      </c>
      <c r="G184" s="1">
        <f t="shared" si="8"/>
        <v>675.26232</v>
      </c>
      <c r="H184" s="1" t="s">
        <v>477</v>
      </c>
    </row>
    <row r="185" spans="1:8">
      <c r="A185" s="1">
        <v>184</v>
      </c>
      <c r="B185" s="1" t="s">
        <v>478</v>
      </c>
      <c r="C185" s="1" t="s">
        <v>479</v>
      </c>
      <c r="D185" s="1">
        <v>694.2837</v>
      </c>
      <c r="E185" s="1">
        <f t="shared" si="6"/>
        <v>695.29098</v>
      </c>
      <c r="F185" s="1">
        <f t="shared" si="7"/>
        <v>712.31753</v>
      </c>
      <c r="G185" s="1">
        <f t="shared" si="8"/>
        <v>717.27292</v>
      </c>
      <c r="H185" s="1" t="s">
        <v>480</v>
      </c>
    </row>
    <row r="186" spans="1:8">
      <c r="A186" s="1">
        <v>185</v>
      </c>
      <c r="B186" s="1" t="s">
        <v>481</v>
      </c>
      <c r="C186" s="1" t="s">
        <v>37</v>
      </c>
      <c r="D186" s="1">
        <v>610.2625</v>
      </c>
      <c r="E186" s="1">
        <f t="shared" si="6"/>
        <v>611.26978</v>
      </c>
      <c r="F186" s="1">
        <f t="shared" si="7"/>
        <v>628.29633</v>
      </c>
      <c r="G186" s="1">
        <f t="shared" si="8"/>
        <v>633.25172</v>
      </c>
      <c r="H186" s="1" t="s">
        <v>482</v>
      </c>
    </row>
    <row r="187" spans="1:8">
      <c r="A187" s="1">
        <v>186</v>
      </c>
      <c r="B187" s="1" t="s">
        <v>483</v>
      </c>
      <c r="C187" s="1" t="s">
        <v>447</v>
      </c>
      <c r="D187" s="1">
        <v>568.2519</v>
      </c>
      <c r="E187" s="1">
        <f t="shared" si="6"/>
        <v>569.25918</v>
      </c>
      <c r="F187" s="1">
        <f t="shared" si="7"/>
        <v>586.28573</v>
      </c>
      <c r="G187" s="1">
        <f t="shared" si="8"/>
        <v>591.24112</v>
      </c>
      <c r="H187" s="1" t="s">
        <v>484</v>
      </c>
    </row>
    <row r="188" spans="1:8">
      <c r="A188" s="1">
        <v>187</v>
      </c>
      <c r="B188" s="1" t="s">
        <v>485</v>
      </c>
      <c r="C188" s="1" t="s">
        <v>486</v>
      </c>
      <c r="D188" s="1">
        <v>740.3044</v>
      </c>
      <c r="E188" s="1">
        <f t="shared" si="6"/>
        <v>741.31168</v>
      </c>
      <c r="F188" s="1">
        <f t="shared" si="7"/>
        <v>758.33823</v>
      </c>
      <c r="G188" s="1">
        <f t="shared" si="8"/>
        <v>763.29362</v>
      </c>
      <c r="H188" s="1" t="s">
        <v>487</v>
      </c>
    </row>
    <row r="189" spans="1:8">
      <c r="A189" s="1">
        <v>188</v>
      </c>
      <c r="B189" s="1" t="s">
        <v>488</v>
      </c>
      <c r="C189" s="1" t="s">
        <v>489</v>
      </c>
      <c r="D189" s="1">
        <v>668.268</v>
      </c>
      <c r="E189" s="1">
        <f t="shared" si="6"/>
        <v>669.27528</v>
      </c>
      <c r="F189" s="1">
        <f t="shared" si="7"/>
        <v>686.30183</v>
      </c>
      <c r="G189" s="1">
        <f t="shared" si="8"/>
        <v>691.25722</v>
      </c>
      <c r="H189" s="1" t="s">
        <v>490</v>
      </c>
    </row>
    <row r="190" spans="1:8">
      <c r="A190" s="1">
        <v>189</v>
      </c>
      <c r="B190" s="1" t="s">
        <v>491</v>
      </c>
      <c r="C190" s="1" t="s">
        <v>492</v>
      </c>
      <c r="D190" s="1">
        <v>769.3673</v>
      </c>
      <c r="E190" s="1">
        <f t="shared" si="6"/>
        <v>770.37458</v>
      </c>
      <c r="F190" s="1">
        <f t="shared" si="7"/>
        <v>787.40113</v>
      </c>
      <c r="G190" s="1">
        <f t="shared" si="8"/>
        <v>792.35652</v>
      </c>
      <c r="H190" s="1" t="s">
        <v>493</v>
      </c>
    </row>
    <row r="191" spans="1:8">
      <c r="A191" s="1">
        <v>190</v>
      </c>
      <c r="B191" s="1" t="s">
        <v>494</v>
      </c>
      <c r="C191" s="1" t="s">
        <v>126</v>
      </c>
      <c r="D191" s="4">
        <v>494.2152</v>
      </c>
      <c r="E191" s="4">
        <f t="shared" si="6"/>
        <v>495.22248</v>
      </c>
      <c r="F191" s="4">
        <f t="shared" si="7"/>
        <v>512.24903</v>
      </c>
      <c r="G191" s="1">
        <f t="shared" si="8"/>
        <v>517.20442</v>
      </c>
      <c r="H191" s="1" t="s">
        <v>495</v>
      </c>
    </row>
    <row r="192" spans="1:8">
      <c r="A192" s="1">
        <v>191</v>
      </c>
      <c r="B192" s="1" t="s">
        <v>496</v>
      </c>
      <c r="C192" s="1" t="s">
        <v>497</v>
      </c>
      <c r="D192" s="1">
        <v>552.20068</v>
      </c>
      <c r="E192" s="1">
        <f t="shared" si="6"/>
        <v>553.20796</v>
      </c>
      <c r="F192" s="1">
        <f t="shared" si="7"/>
        <v>570.23451</v>
      </c>
      <c r="G192" s="1">
        <f t="shared" si="8"/>
        <v>575.1899</v>
      </c>
      <c r="H192" s="1" t="s">
        <v>498</v>
      </c>
    </row>
    <row r="193" spans="1:8">
      <c r="A193" s="1">
        <v>192</v>
      </c>
      <c r="B193" s="1" t="s">
        <v>499</v>
      </c>
      <c r="C193" s="1" t="s">
        <v>500</v>
      </c>
      <c r="D193" s="1">
        <v>582.2465</v>
      </c>
      <c r="E193" s="1">
        <f t="shared" si="6"/>
        <v>583.25378</v>
      </c>
      <c r="F193" s="1">
        <f t="shared" si="7"/>
        <v>600.28033</v>
      </c>
      <c r="G193" s="1">
        <f t="shared" si="8"/>
        <v>605.23572</v>
      </c>
      <c r="H193" s="1" t="s">
        <v>501</v>
      </c>
    </row>
    <row r="194" spans="1:8">
      <c r="A194" s="1">
        <v>193</v>
      </c>
      <c r="B194" s="1" t="s">
        <v>502</v>
      </c>
      <c r="C194" s="1" t="s">
        <v>500</v>
      </c>
      <c r="D194" s="1">
        <v>582.2465</v>
      </c>
      <c r="E194" s="1">
        <f t="shared" si="6"/>
        <v>583.25378</v>
      </c>
      <c r="F194" s="1">
        <f t="shared" si="7"/>
        <v>600.28033</v>
      </c>
      <c r="G194" s="1">
        <f t="shared" si="8"/>
        <v>605.23572</v>
      </c>
      <c r="H194" s="1" t="s">
        <v>503</v>
      </c>
    </row>
    <row r="195" spans="1:8">
      <c r="A195" s="1">
        <v>194</v>
      </c>
      <c r="B195" s="1" t="s">
        <v>504</v>
      </c>
      <c r="C195" s="1" t="s">
        <v>505</v>
      </c>
      <c r="D195" s="1">
        <v>598.2414</v>
      </c>
      <c r="E195" s="1">
        <f t="shared" ref="E195:E258" si="9">D195+1.00728</f>
        <v>599.24868</v>
      </c>
      <c r="F195" s="1">
        <f t="shared" ref="F195:F258" si="10">D195+18.03383</f>
        <v>616.27523</v>
      </c>
      <c r="G195" s="1">
        <f t="shared" ref="G195:G258" si="11">D195+22.98922</f>
        <v>621.23062</v>
      </c>
      <c r="H195" s="1" t="s">
        <v>506</v>
      </c>
    </row>
    <row r="196" spans="1:8">
      <c r="A196" s="1">
        <v>195</v>
      </c>
      <c r="B196" s="1" t="s">
        <v>507</v>
      </c>
      <c r="C196" s="1" t="s">
        <v>508</v>
      </c>
      <c r="D196" s="1">
        <v>640.2519</v>
      </c>
      <c r="E196" s="1">
        <f t="shared" si="9"/>
        <v>641.25918</v>
      </c>
      <c r="F196" s="1">
        <f t="shared" si="10"/>
        <v>658.28573</v>
      </c>
      <c r="G196" s="1">
        <f t="shared" si="11"/>
        <v>663.24112</v>
      </c>
      <c r="H196" s="1" t="s">
        <v>509</v>
      </c>
    </row>
    <row r="197" spans="1:8">
      <c r="A197" s="1">
        <v>196</v>
      </c>
      <c r="B197" s="1" t="s">
        <v>510</v>
      </c>
      <c r="C197" s="1" t="s">
        <v>511</v>
      </c>
      <c r="D197" s="1">
        <v>646.2262</v>
      </c>
      <c r="E197" s="1">
        <f t="shared" si="9"/>
        <v>647.23348</v>
      </c>
      <c r="F197" s="1">
        <f t="shared" si="10"/>
        <v>664.26003</v>
      </c>
      <c r="G197" s="1">
        <f t="shared" si="11"/>
        <v>669.21542</v>
      </c>
      <c r="H197" s="1" t="s">
        <v>512</v>
      </c>
    </row>
    <row r="198" spans="1:8">
      <c r="A198" s="1">
        <v>197</v>
      </c>
      <c r="B198" s="1" t="s">
        <v>513</v>
      </c>
      <c r="C198" s="1" t="s">
        <v>31</v>
      </c>
      <c r="D198" s="1">
        <v>594.2676</v>
      </c>
      <c r="E198" s="1">
        <f t="shared" si="9"/>
        <v>595.27488</v>
      </c>
      <c r="F198" s="1">
        <f t="shared" si="10"/>
        <v>612.30143</v>
      </c>
      <c r="G198" s="1">
        <f t="shared" si="11"/>
        <v>617.25682</v>
      </c>
      <c r="H198" s="1" t="s">
        <v>514</v>
      </c>
    </row>
    <row r="199" spans="1:11">
      <c r="A199" s="3">
        <v>198</v>
      </c>
      <c r="B199" s="3" t="s">
        <v>515</v>
      </c>
      <c r="C199" s="3" t="s">
        <v>471</v>
      </c>
      <c r="D199" s="3">
        <v>636.2782</v>
      </c>
      <c r="E199" s="3">
        <f t="shared" si="9"/>
        <v>637.28548</v>
      </c>
      <c r="F199" s="3">
        <f t="shared" si="10"/>
        <v>654.31203</v>
      </c>
      <c r="G199" s="3">
        <f t="shared" si="11"/>
        <v>659.26742</v>
      </c>
      <c r="H199" s="3" t="s">
        <v>516</v>
      </c>
      <c r="I199" s="3"/>
      <c r="J199" s="3"/>
      <c r="K199" s="8"/>
    </row>
    <row r="200" spans="1:8">
      <c r="A200" s="1">
        <v>199</v>
      </c>
      <c r="B200" s="1" t="s">
        <v>517</v>
      </c>
      <c r="C200" s="1" t="s">
        <v>518</v>
      </c>
      <c r="D200" s="1">
        <v>570.2465</v>
      </c>
      <c r="E200" s="1">
        <f t="shared" si="9"/>
        <v>571.25378</v>
      </c>
      <c r="F200" s="1">
        <f t="shared" si="10"/>
        <v>588.28033</v>
      </c>
      <c r="G200" s="1">
        <f t="shared" si="11"/>
        <v>593.23572</v>
      </c>
      <c r="H200" s="1" t="s">
        <v>519</v>
      </c>
    </row>
    <row r="201" spans="1:8">
      <c r="A201" s="1">
        <v>200</v>
      </c>
      <c r="B201" s="1" t="s">
        <v>520</v>
      </c>
      <c r="C201" s="1" t="s">
        <v>521</v>
      </c>
      <c r="D201" s="1">
        <v>698.2938</v>
      </c>
      <c r="E201" s="1">
        <f t="shared" si="9"/>
        <v>699.30108</v>
      </c>
      <c r="F201" s="1">
        <f t="shared" si="10"/>
        <v>716.32763</v>
      </c>
      <c r="G201" s="1">
        <f t="shared" si="11"/>
        <v>721.28302</v>
      </c>
      <c r="H201" s="1" t="s">
        <v>522</v>
      </c>
    </row>
    <row r="202" spans="1:8">
      <c r="A202" s="1">
        <v>201</v>
      </c>
      <c r="B202" s="1" t="s">
        <v>523</v>
      </c>
      <c r="C202" s="1" t="s">
        <v>37</v>
      </c>
      <c r="D202" s="1">
        <v>610.2625</v>
      </c>
      <c r="E202" s="1">
        <f t="shared" si="9"/>
        <v>611.26978</v>
      </c>
      <c r="F202" s="1">
        <f t="shared" si="10"/>
        <v>628.29633</v>
      </c>
      <c r="G202" s="1">
        <f t="shared" si="11"/>
        <v>633.25172</v>
      </c>
      <c r="H202" s="1" t="s">
        <v>524</v>
      </c>
    </row>
    <row r="203" spans="1:8">
      <c r="A203" s="1">
        <v>202</v>
      </c>
      <c r="B203" s="1" t="s">
        <v>525</v>
      </c>
      <c r="C203" s="1" t="s">
        <v>447</v>
      </c>
      <c r="D203" s="1">
        <v>568.252</v>
      </c>
      <c r="E203" s="1">
        <f t="shared" si="9"/>
        <v>569.25928</v>
      </c>
      <c r="F203" s="1">
        <f t="shared" si="10"/>
        <v>586.28583</v>
      </c>
      <c r="G203" s="1">
        <f t="shared" si="11"/>
        <v>591.24122</v>
      </c>
      <c r="H203" s="1" t="s">
        <v>526</v>
      </c>
    </row>
    <row r="204" spans="1:8">
      <c r="A204" s="1">
        <v>203</v>
      </c>
      <c r="B204" s="1" t="s">
        <v>527</v>
      </c>
      <c r="C204" s="1" t="s">
        <v>474</v>
      </c>
      <c r="D204" s="1">
        <v>652.2731</v>
      </c>
      <c r="E204" s="1">
        <f t="shared" si="9"/>
        <v>653.28038</v>
      </c>
      <c r="F204" s="1">
        <f t="shared" si="10"/>
        <v>670.30693</v>
      </c>
      <c r="G204" s="1">
        <f t="shared" si="11"/>
        <v>675.26232</v>
      </c>
      <c r="H204" s="1" t="s">
        <v>528</v>
      </c>
    </row>
    <row r="205" spans="1:8">
      <c r="A205" s="1">
        <v>204</v>
      </c>
      <c r="B205" s="1" t="s">
        <v>529</v>
      </c>
      <c r="C205" s="1" t="s">
        <v>37</v>
      </c>
      <c r="D205" s="1">
        <v>610.2625</v>
      </c>
      <c r="E205" s="1">
        <f t="shared" si="9"/>
        <v>611.26978</v>
      </c>
      <c r="F205" s="1">
        <f t="shared" si="10"/>
        <v>628.29633</v>
      </c>
      <c r="G205" s="1">
        <f t="shared" si="11"/>
        <v>633.25172</v>
      </c>
      <c r="H205" s="1" t="s">
        <v>530</v>
      </c>
    </row>
    <row r="206" spans="1:8">
      <c r="A206" s="1">
        <v>205</v>
      </c>
      <c r="B206" s="1" t="s">
        <v>531</v>
      </c>
      <c r="C206" s="1" t="s">
        <v>532</v>
      </c>
      <c r="D206" s="1">
        <v>588.2571</v>
      </c>
      <c r="E206" s="1">
        <f t="shared" si="9"/>
        <v>589.26438</v>
      </c>
      <c r="F206" s="1">
        <f t="shared" si="10"/>
        <v>606.29093</v>
      </c>
      <c r="G206" s="1">
        <f t="shared" si="11"/>
        <v>611.24632</v>
      </c>
      <c r="H206" s="1" t="s">
        <v>533</v>
      </c>
    </row>
    <row r="207" spans="1:8">
      <c r="A207" s="1">
        <v>206</v>
      </c>
      <c r="B207" s="1" t="s">
        <v>534</v>
      </c>
      <c r="C207" s="1" t="s">
        <v>535</v>
      </c>
      <c r="D207" s="1">
        <v>544.2308</v>
      </c>
      <c r="E207" s="1">
        <f t="shared" si="9"/>
        <v>545.23808</v>
      </c>
      <c r="F207" s="1">
        <f t="shared" si="10"/>
        <v>562.26463</v>
      </c>
      <c r="G207" s="1">
        <f t="shared" si="11"/>
        <v>567.22002</v>
      </c>
      <c r="H207" s="1" t="s">
        <v>536</v>
      </c>
    </row>
    <row r="208" spans="1:8">
      <c r="A208" s="1">
        <v>207</v>
      </c>
      <c r="B208" s="1" t="s">
        <v>537</v>
      </c>
      <c r="C208" s="1" t="s">
        <v>538</v>
      </c>
      <c r="D208" s="1">
        <v>588.2571</v>
      </c>
      <c r="E208" s="1">
        <f t="shared" si="9"/>
        <v>589.26438</v>
      </c>
      <c r="F208" s="1">
        <f t="shared" si="10"/>
        <v>606.29093</v>
      </c>
      <c r="G208" s="1">
        <f t="shared" si="11"/>
        <v>611.24632</v>
      </c>
      <c r="H208" s="1" t="s">
        <v>539</v>
      </c>
    </row>
    <row r="209" spans="1:11">
      <c r="A209" s="3">
        <v>208</v>
      </c>
      <c r="B209" s="3" t="s">
        <v>540</v>
      </c>
      <c r="C209" s="3" t="s">
        <v>74</v>
      </c>
      <c r="D209" s="3">
        <v>630.2676</v>
      </c>
      <c r="E209" s="3">
        <f t="shared" si="9"/>
        <v>631.27488</v>
      </c>
      <c r="F209" s="3">
        <f t="shared" si="10"/>
        <v>648.30143</v>
      </c>
      <c r="G209" s="3">
        <f t="shared" si="11"/>
        <v>653.25682</v>
      </c>
      <c r="H209" s="3" t="s">
        <v>541</v>
      </c>
      <c r="I209" s="3"/>
      <c r="J209" s="3"/>
      <c r="K209" s="8"/>
    </row>
    <row r="210" spans="1:8">
      <c r="A210" s="1">
        <v>209</v>
      </c>
      <c r="B210" s="1" t="s">
        <v>542</v>
      </c>
      <c r="C210" s="1" t="s">
        <v>543</v>
      </c>
      <c r="D210" s="1">
        <v>586.2414</v>
      </c>
      <c r="E210" s="1">
        <f t="shared" si="9"/>
        <v>587.24868</v>
      </c>
      <c r="F210" s="1">
        <f t="shared" si="10"/>
        <v>604.27523</v>
      </c>
      <c r="G210" s="1">
        <f t="shared" si="11"/>
        <v>609.23062</v>
      </c>
      <c r="H210" s="1" t="s">
        <v>544</v>
      </c>
    </row>
    <row r="211" spans="1:8">
      <c r="A211" s="1">
        <v>210</v>
      </c>
      <c r="B211" s="1" t="s">
        <v>545</v>
      </c>
      <c r="C211" s="1" t="s">
        <v>546</v>
      </c>
      <c r="D211" s="4">
        <v>542.2152</v>
      </c>
      <c r="E211" s="4">
        <f t="shared" si="9"/>
        <v>543.22248</v>
      </c>
      <c r="F211" s="4">
        <f t="shared" si="10"/>
        <v>560.24903</v>
      </c>
      <c r="G211" s="1">
        <f t="shared" si="11"/>
        <v>565.20442</v>
      </c>
      <c r="H211" s="4" t="s">
        <v>547</v>
      </c>
    </row>
    <row r="212" spans="1:11">
      <c r="A212" s="3">
        <v>211</v>
      </c>
      <c r="B212" s="3" t="s">
        <v>548</v>
      </c>
      <c r="C212" s="3" t="s">
        <v>535</v>
      </c>
      <c r="D212" s="5">
        <v>544.2308</v>
      </c>
      <c r="E212" s="5">
        <f t="shared" si="9"/>
        <v>545.23808</v>
      </c>
      <c r="F212" s="5">
        <f t="shared" si="10"/>
        <v>562.26463</v>
      </c>
      <c r="G212" s="3">
        <f t="shared" si="11"/>
        <v>567.22002</v>
      </c>
      <c r="H212" s="5" t="s">
        <v>549</v>
      </c>
      <c r="I212" s="3"/>
      <c r="J212" s="3"/>
      <c r="K212" s="8"/>
    </row>
    <row r="213" spans="1:11">
      <c r="A213" s="3">
        <v>212</v>
      </c>
      <c r="B213" s="3" t="s">
        <v>550</v>
      </c>
      <c r="C213" s="3" t="s">
        <v>543</v>
      </c>
      <c r="D213" s="3">
        <v>586.2414</v>
      </c>
      <c r="E213" s="3">
        <f t="shared" si="9"/>
        <v>587.24868</v>
      </c>
      <c r="F213" s="3">
        <f t="shared" si="10"/>
        <v>604.27523</v>
      </c>
      <c r="G213" s="3">
        <f t="shared" si="11"/>
        <v>609.23062</v>
      </c>
      <c r="H213" s="3" t="s">
        <v>551</v>
      </c>
      <c r="I213" s="3"/>
      <c r="J213" s="3"/>
      <c r="K213" s="8"/>
    </row>
    <row r="214" spans="1:8">
      <c r="A214" s="1">
        <v>213</v>
      </c>
      <c r="B214" s="1" t="s">
        <v>552</v>
      </c>
      <c r="C214" s="1" t="s">
        <v>553</v>
      </c>
      <c r="D214" s="1">
        <v>584.2258</v>
      </c>
      <c r="E214" s="1">
        <f t="shared" si="9"/>
        <v>585.23308</v>
      </c>
      <c r="F214" s="1">
        <f t="shared" si="10"/>
        <v>602.25963</v>
      </c>
      <c r="G214" s="1">
        <f t="shared" si="11"/>
        <v>607.21502</v>
      </c>
      <c r="H214" s="1" t="s">
        <v>554</v>
      </c>
    </row>
    <row r="215" spans="1:8">
      <c r="A215" s="1">
        <v>214</v>
      </c>
      <c r="B215" s="1" t="s">
        <v>555</v>
      </c>
      <c r="C215" s="1" t="s">
        <v>538</v>
      </c>
      <c r="D215" s="1">
        <v>588.2571</v>
      </c>
      <c r="E215" s="1">
        <f t="shared" si="9"/>
        <v>589.26438</v>
      </c>
      <c r="F215" s="1">
        <f t="shared" si="10"/>
        <v>606.29093</v>
      </c>
      <c r="G215" s="1">
        <f t="shared" si="11"/>
        <v>611.24632</v>
      </c>
      <c r="H215" s="1" t="s">
        <v>556</v>
      </c>
    </row>
    <row r="216" spans="1:8">
      <c r="A216" s="1">
        <v>215</v>
      </c>
      <c r="B216" s="1" t="s">
        <v>557</v>
      </c>
      <c r="C216" s="1" t="s">
        <v>558</v>
      </c>
      <c r="D216" s="1">
        <v>672.2782</v>
      </c>
      <c r="E216" s="1">
        <f t="shared" si="9"/>
        <v>673.28548</v>
      </c>
      <c r="F216" s="1">
        <f t="shared" si="10"/>
        <v>690.31203</v>
      </c>
      <c r="G216" s="1">
        <f t="shared" si="11"/>
        <v>695.26742</v>
      </c>
      <c r="H216" s="1" t="s">
        <v>559</v>
      </c>
    </row>
    <row r="217" spans="1:8">
      <c r="A217" s="1">
        <v>216</v>
      </c>
      <c r="B217" s="1" t="s">
        <v>560</v>
      </c>
      <c r="C217" s="1" t="s">
        <v>558</v>
      </c>
      <c r="D217" s="1">
        <v>672.2782</v>
      </c>
      <c r="E217" s="1">
        <f t="shared" si="9"/>
        <v>673.28548</v>
      </c>
      <c r="F217" s="1">
        <f t="shared" si="10"/>
        <v>690.31203</v>
      </c>
      <c r="G217" s="1">
        <f t="shared" si="11"/>
        <v>695.26742</v>
      </c>
      <c r="H217" s="1" t="s">
        <v>561</v>
      </c>
    </row>
    <row r="218" spans="1:11">
      <c r="A218" s="3">
        <v>217</v>
      </c>
      <c r="B218" s="3" t="s">
        <v>562</v>
      </c>
      <c r="C218" s="3" t="s">
        <v>563</v>
      </c>
      <c r="D218" s="3">
        <v>714.2888</v>
      </c>
      <c r="E218" s="3">
        <f t="shared" si="9"/>
        <v>715.29608</v>
      </c>
      <c r="F218" s="3">
        <f t="shared" si="10"/>
        <v>732.32263</v>
      </c>
      <c r="G218" s="3">
        <f t="shared" si="11"/>
        <v>737.27802</v>
      </c>
      <c r="H218" s="3" t="s">
        <v>564</v>
      </c>
      <c r="I218" s="3"/>
      <c r="J218" s="3"/>
      <c r="K218" s="8"/>
    </row>
    <row r="219" spans="1:8">
      <c r="A219" s="1">
        <v>218</v>
      </c>
      <c r="B219" s="1" t="s">
        <v>565</v>
      </c>
      <c r="C219" s="1" t="s">
        <v>479</v>
      </c>
      <c r="D219" s="1">
        <v>694.2837</v>
      </c>
      <c r="E219" s="1">
        <f t="shared" si="9"/>
        <v>695.29098</v>
      </c>
      <c r="F219" s="1">
        <f t="shared" si="10"/>
        <v>712.31753</v>
      </c>
      <c r="G219" s="1">
        <f t="shared" si="11"/>
        <v>717.27292</v>
      </c>
      <c r="H219" s="1" t="s">
        <v>566</v>
      </c>
    </row>
    <row r="220" spans="1:8">
      <c r="A220" s="1">
        <v>219</v>
      </c>
      <c r="B220" s="1" t="s">
        <v>567</v>
      </c>
      <c r="C220" s="1" t="s">
        <v>543</v>
      </c>
      <c r="D220" s="1">
        <v>586.2414</v>
      </c>
      <c r="E220" s="1">
        <f t="shared" si="9"/>
        <v>587.24868</v>
      </c>
      <c r="F220" s="1">
        <f t="shared" si="10"/>
        <v>604.27523</v>
      </c>
      <c r="G220" s="1">
        <f t="shared" si="11"/>
        <v>609.23062</v>
      </c>
      <c r="H220" s="1" t="s">
        <v>568</v>
      </c>
    </row>
    <row r="221" spans="1:8">
      <c r="A221" s="1">
        <v>220</v>
      </c>
      <c r="B221" s="1" t="s">
        <v>569</v>
      </c>
      <c r="C221" s="1" t="s">
        <v>532</v>
      </c>
      <c r="D221" s="1">
        <v>588.2571</v>
      </c>
      <c r="E221" s="1">
        <f t="shared" si="9"/>
        <v>589.26438</v>
      </c>
      <c r="F221" s="1">
        <f t="shared" si="10"/>
        <v>606.29093</v>
      </c>
      <c r="G221" s="1">
        <f t="shared" si="11"/>
        <v>611.24632</v>
      </c>
      <c r="H221" s="1" t="s">
        <v>570</v>
      </c>
    </row>
    <row r="222" spans="1:8">
      <c r="A222" s="1">
        <v>221</v>
      </c>
      <c r="B222" s="1" t="s">
        <v>571</v>
      </c>
      <c r="C222" s="1" t="s">
        <v>543</v>
      </c>
      <c r="D222" s="1">
        <v>586.2414</v>
      </c>
      <c r="E222" s="1">
        <f t="shared" si="9"/>
        <v>587.24868</v>
      </c>
      <c r="F222" s="1">
        <f t="shared" si="10"/>
        <v>604.27523</v>
      </c>
      <c r="G222" s="1">
        <f t="shared" si="11"/>
        <v>609.23062</v>
      </c>
      <c r="H222" s="1" t="s">
        <v>572</v>
      </c>
    </row>
    <row r="223" spans="1:8">
      <c r="A223" s="1">
        <v>222</v>
      </c>
      <c r="B223" s="1" t="s">
        <v>573</v>
      </c>
      <c r="C223" s="1" t="s">
        <v>546</v>
      </c>
      <c r="D223" s="1">
        <v>542.2152</v>
      </c>
      <c r="E223" s="1">
        <f t="shared" si="9"/>
        <v>543.22248</v>
      </c>
      <c r="F223" s="1">
        <f t="shared" si="10"/>
        <v>560.24903</v>
      </c>
      <c r="G223" s="1">
        <f t="shared" si="11"/>
        <v>565.20442</v>
      </c>
      <c r="H223" s="1" t="s">
        <v>574</v>
      </c>
    </row>
    <row r="224" spans="1:8">
      <c r="A224" s="1">
        <v>223</v>
      </c>
      <c r="B224" s="1" t="s">
        <v>575</v>
      </c>
      <c r="C224" s="1" t="s">
        <v>535</v>
      </c>
      <c r="D224" s="4">
        <v>544.2308</v>
      </c>
      <c r="E224" s="4">
        <f t="shared" si="9"/>
        <v>545.23808</v>
      </c>
      <c r="F224" s="4">
        <f t="shared" si="10"/>
        <v>562.26463</v>
      </c>
      <c r="G224" s="1">
        <f t="shared" si="11"/>
        <v>567.22002</v>
      </c>
      <c r="H224" s="4" t="s">
        <v>576</v>
      </c>
    </row>
    <row r="225" spans="1:8">
      <c r="A225" s="1">
        <v>224</v>
      </c>
      <c r="B225" s="1" t="s">
        <v>577</v>
      </c>
      <c r="C225" s="1" t="s">
        <v>489</v>
      </c>
      <c r="D225" s="1">
        <v>668.268</v>
      </c>
      <c r="E225" s="1">
        <f t="shared" si="9"/>
        <v>669.27528</v>
      </c>
      <c r="F225" s="1">
        <f t="shared" si="10"/>
        <v>686.30183</v>
      </c>
      <c r="G225" s="1">
        <f t="shared" si="11"/>
        <v>691.25722</v>
      </c>
      <c r="H225" s="1" t="s">
        <v>578</v>
      </c>
    </row>
    <row r="226" spans="1:8">
      <c r="A226" s="1">
        <v>225</v>
      </c>
      <c r="B226" s="1" t="s">
        <v>579</v>
      </c>
      <c r="C226" s="1" t="s">
        <v>580</v>
      </c>
      <c r="D226" s="1">
        <v>847.3779</v>
      </c>
      <c r="E226" s="1">
        <f t="shared" si="9"/>
        <v>848.38518</v>
      </c>
      <c r="F226" s="1">
        <f t="shared" si="10"/>
        <v>865.41173</v>
      </c>
      <c r="G226" s="1">
        <f t="shared" si="11"/>
        <v>870.36712</v>
      </c>
      <c r="H226" s="1" t="s">
        <v>581</v>
      </c>
    </row>
    <row r="227" spans="1:8">
      <c r="A227" s="1">
        <v>226</v>
      </c>
      <c r="B227" s="1" t="s">
        <v>582</v>
      </c>
      <c r="C227" s="1" t="s">
        <v>583</v>
      </c>
      <c r="D227" s="1">
        <v>716.2833</v>
      </c>
      <c r="E227" s="1">
        <f t="shared" si="9"/>
        <v>717.29058</v>
      </c>
      <c r="F227" s="1">
        <f t="shared" si="10"/>
        <v>734.31713</v>
      </c>
      <c r="G227" s="1">
        <f t="shared" si="11"/>
        <v>739.27252</v>
      </c>
      <c r="H227" s="1" t="s">
        <v>584</v>
      </c>
    </row>
    <row r="228" spans="1:8">
      <c r="A228" s="1">
        <v>227</v>
      </c>
      <c r="B228" s="1" t="s">
        <v>585</v>
      </c>
      <c r="C228" s="1" t="s">
        <v>586</v>
      </c>
      <c r="D228" s="1">
        <v>750.2888</v>
      </c>
      <c r="E228" s="1">
        <f t="shared" si="9"/>
        <v>751.29608</v>
      </c>
      <c r="F228" s="1">
        <f t="shared" si="10"/>
        <v>768.32263</v>
      </c>
      <c r="G228" s="1">
        <f t="shared" si="11"/>
        <v>773.27802</v>
      </c>
      <c r="H228" s="1" t="s">
        <v>587</v>
      </c>
    </row>
    <row r="229" spans="1:8">
      <c r="A229" s="1">
        <v>228</v>
      </c>
      <c r="B229" s="1" t="s">
        <v>588</v>
      </c>
      <c r="C229" s="1" t="s">
        <v>74</v>
      </c>
      <c r="D229" s="1">
        <v>630.2676</v>
      </c>
      <c r="E229" s="1">
        <f t="shared" si="9"/>
        <v>631.27488</v>
      </c>
      <c r="F229" s="1">
        <f t="shared" si="10"/>
        <v>648.30143</v>
      </c>
      <c r="G229" s="1">
        <f t="shared" si="11"/>
        <v>653.25682</v>
      </c>
      <c r="H229" s="1" t="s">
        <v>589</v>
      </c>
    </row>
    <row r="230" spans="1:8">
      <c r="A230" s="1">
        <v>229</v>
      </c>
      <c r="B230" s="1" t="s">
        <v>590</v>
      </c>
      <c r="C230" s="1" t="s">
        <v>591</v>
      </c>
      <c r="D230" s="1">
        <v>772.2942</v>
      </c>
      <c r="E230" s="1">
        <f t="shared" si="9"/>
        <v>773.30148</v>
      </c>
      <c r="F230" s="1">
        <f t="shared" si="10"/>
        <v>790.32803</v>
      </c>
      <c r="G230" s="1">
        <f t="shared" si="11"/>
        <v>795.28342</v>
      </c>
      <c r="H230" s="1" t="s">
        <v>592</v>
      </c>
    </row>
    <row r="231" spans="1:8">
      <c r="A231" s="1">
        <v>230</v>
      </c>
      <c r="B231" s="1" t="s">
        <v>593</v>
      </c>
      <c r="C231" s="1" t="s">
        <v>594</v>
      </c>
      <c r="D231" s="1">
        <v>730.2837</v>
      </c>
      <c r="E231" s="1">
        <f t="shared" si="9"/>
        <v>731.29098</v>
      </c>
      <c r="F231" s="1">
        <f t="shared" si="10"/>
        <v>748.31753</v>
      </c>
      <c r="G231" s="1">
        <f t="shared" si="11"/>
        <v>753.27292</v>
      </c>
      <c r="H231" s="1" t="s">
        <v>595</v>
      </c>
    </row>
    <row r="232" spans="1:8">
      <c r="A232" s="1">
        <v>231</v>
      </c>
      <c r="B232" s="1" t="s">
        <v>596</v>
      </c>
      <c r="C232" s="1" t="s">
        <v>597</v>
      </c>
      <c r="D232" s="4">
        <v>648.2934</v>
      </c>
      <c r="E232" s="4">
        <f t="shared" si="9"/>
        <v>649.30068</v>
      </c>
      <c r="F232" s="4">
        <f t="shared" si="10"/>
        <v>666.32723</v>
      </c>
      <c r="G232" s="1">
        <f t="shared" si="11"/>
        <v>671.28262</v>
      </c>
      <c r="H232" s="1" t="s">
        <v>598</v>
      </c>
    </row>
    <row r="233" spans="1:8">
      <c r="A233" s="1">
        <v>232</v>
      </c>
      <c r="B233" s="1" t="s">
        <v>599</v>
      </c>
      <c r="C233" s="1" t="s">
        <v>600</v>
      </c>
      <c r="D233" s="1">
        <v>522.2465</v>
      </c>
      <c r="E233" s="1">
        <f t="shared" si="9"/>
        <v>523.25378</v>
      </c>
      <c r="F233" s="1">
        <f t="shared" si="10"/>
        <v>540.28033</v>
      </c>
      <c r="G233" s="1">
        <f t="shared" si="11"/>
        <v>545.23572</v>
      </c>
      <c r="H233" s="1" t="s">
        <v>601</v>
      </c>
    </row>
    <row r="234" spans="1:8">
      <c r="A234" s="1">
        <v>233</v>
      </c>
      <c r="B234" s="1" t="s">
        <v>602</v>
      </c>
      <c r="C234" s="1" t="s">
        <v>603</v>
      </c>
      <c r="D234" s="1">
        <v>708.3357</v>
      </c>
      <c r="E234" s="1">
        <f t="shared" si="9"/>
        <v>709.34298</v>
      </c>
      <c r="F234" s="1">
        <f t="shared" si="10"/>
        <v>726.36953</v>
      </c>
      <c r="G234" s="1">
        <f t="shared" si="11"/>
        <v>731.32492</v>
      </c>
      <c r="H234" s="1" t="s">
        <v>604</v>
      </c>
    </row>
    <row r="235" spans="1:8">
      <c r="A235" s="1">
        <v>234</v>
      </c>
      <c r="B235" s="1" t="s">
        <v>605</v>
      </c>
      <c r="C235" s="1" t="s">
        <v>86</v>
      </c>
      <c r="D235" s="1">
        <v>552.2571</v>
      </c>
      <c r="E235" s="1">
        <f t="shared" si="9"/>
        <v>553.26438</v>
      </c>
      <c r="F235" s="1">
        <f t="shared" si="10"/>
        <v>570.29093</v>
      </c>
      <c r="G235" s="1">
        <f t="shared" si="11"/>
        <v>575.24632</v>
      </c>
      <c r="H235" s="1" t="s">
        <v>606</v>
      </c>
    </row>
    <row r="236" spans="1:8">
      <c r="A236" s="1">
        <v>235</v>
      </c>
      <c r="B236" s="1" t="s">
        <v>607</v>
      </c>
      <c r="C236" s="1" t="s">
        <v>594</v>
      </c>
      <c r="D236" s="1">
        <v>730.2837</v>
      </c>
      <c r="E236" s="1">
        <f t="shared" si="9"/>
        <v>731.29098</v>
      </c>
      <c r="F236" s="1">
        <f t="shared" si="10"/>
        <v>748.31753</v>
      </c>
      <c r="G236" s="1">
        <f t="shared" si="11"/>
        <v>753.27292</v>
      </c>
      <c r="H236" s="1" t="s">
        <v>608</v>
      </c>
    </row>
    <row r="237" spans="1:8">
      <c r="A237" s="1">
        <v>236</v>
      </c>
      <c r="B237" s="1" t="s">
        <v>609</v>
      </c>
      <c r="C237" s="1" t="s">
        <v>594</v>
      </c>
      <c r="D237" s="1">
        <v>730.2837</v>
      </c>
      <c r="E237" s="1">
        <f t="shared" si="9"/>
        <v>731.29098</v>
      </c>
      <c r="F237" s="1">
        <f t="shared" si="10"/>
        <v>748.31753</v>
      </c>
      <c r="G237" s="1">
        <f t="shared" si="11"/>
        <v>753.27292</v>
      </c>
      <c r="H237" s="1" t="s">
        <v>610</v>
      </c>
    </row>
    <row r="238" spans="1:8">
      <c r="A238" s="1">
        <v>237</v>
      </c>
      <c r="B238" s="1" t="s">
        <v>611</v>
      </c>
      <c r="C238" s="1" t="s">
        <v>591</v>
      </c>
      <c r="D238" s="1">
        <v>772.2942</v>
      </c>
      <c r="E238" s="1">
        <f t="shared" si="9"/>
        <v>773.30148</v>
      </c>
      <c r="F238" s="1">
        <f t="shared" si="10"/>
        <v>790.32803</v>
      </c>
      <c r="G238" s="1">
        <f t="shared" si="11"/>
        <v>795.28342</v>
      </c>
      <c r="H238" s="1" t="s">
        <v>612</v>
      </c>
    </row>
    <row r="239" spans="1:8">
      <c r="A239" s="1">
        <v>238</v>
      </c>
      <c r="B239" s="1" t="s">
        <v>613</v>
      </c>
      <c r="C239" s="1" t="s">
        <v>614</v>
      </c>
      <c r="D239" s="4">
        <v>656.2833</v>
      </c>
      <c r="E239" s="4">
        <f t="shared" si="9"/>
        <v>657.29058</v>
      </c>
      <c r="F239" s="4">
        <f t="shared" si="10"/>
        <v>674.31713</v>
      </c>
      <c r="G239" s="1">
        <f t="shared" si="11"/>
        <v>679.27252</v>
      </c>
      <c r="H239" s="1" t="s">
        <v>615</v>
      </c>
    </row>
    <row r="240" spans="1:8">
      <c r="A240" s="1">
        <v>239</v>
      </c>
      <c r="B240" s="1" t="s">
        <v>616</v>
      </c>
      <c r="C240" s="1" t="s">
        <v>617</v>
      </c>
      <c r="D240" s="1">
        <v>560.2258</v>
      </c>
      <c r="E240" s="1">
        <f t="shared" si="9"/>
        <v>561.23308</v>
      </c>
      <c r="F240" s="1">
        <f t="shared" si="10"/>
        <v>578.25963</v>
      </c>
      <c r="G240" s="1">
        <f t="shared" si="11"/>
        <v>583.21502</v>
      </c>
      <c r="H240" s="1" t="s">
        <v>618</v>
      </c>
    </row>
    <row r="241" spans="1:8">
      <c r="A241" s="1">
        <v>240</v>
      </c>
      <c r="B241" s="1" t="s">
        <v>619</v>
      </c>
      <c r="C241" s="1" t="s">
        <v>620</v>
      </c>
      <c r="D241" s="1">
        <v>604.25198</v>
      </c>
      <c r="E241" s="1">
        <f t="shared" si="9"/>
        <v>605.25926</v>
      </c>
      <c r="F241" s="1">
        <f t="shared" si="10"/>
        <v>622.28581</v>
      </c>
      <c r="G241" s="1">
        <f t="shared" si="11"/>
        <v>627.2412</v>
      </c>
      <c r="H241" s="1" t="s">
        <v>621</v>
      </c>
    </row>
    <row r="242" spans="1:8">
      <c r="A242" s="1">
        <v>241</v>
      </c>
      <c r="B242" s="1" t="s">
        <v>622</v>
      </c>
      <c r="C242" s="1" t="s">
        <v>617</v>
      </c>
      <c r="D242" s="1">
        <v>560.2258</v>
      </c>
      <c r="E242" s="1">
        <f t="shared" si="9"/>
        <v>561.23308</v>
      </c>
      <c r="F242" s="1">
        <f t="shared" si="10"/>
        <v>578.25963</v>
      </c>
      <c r="G242" s="1">
        <f t="shared" si="11"/>
        <v>583.21502</v>
      </c>
      <c r="H242" s="1" t="s">
        <v>623</v>
      </c>
    </row>
    <row r="243" spans="1:11">
      <c r="A243" s="3">
        <v>242</v>
      </c>
      <c r="B243" s="3" t="s">
        <v>624</v>
      </c>
      <c r="C243" s="3" t="s">
        <v>620</v>
      </c>
      <c r="D243" s="3">
        <v>604.25198</v>
      </c>
      <c r="E243" s="3">
        <f t="shared" si="9"/>
        <v>605.25926</v>
      </c>
      <c r="F243" s="3">
        <f t="shared" si="10"/>
        <v>622.28581</v>
      </c>
      <c r="G243" s="3">
        <f t="shared" si="11"/>
        <v>627.2412</v>
      </c>
      <c r="H243" s="3" t="s">
        <v>625</v>
      </c>
      <c r="I243" s="3"/>
      <c r="J243" s="3"/>
      <c r="K243" s="8"/>
    </row>
    <row r="244" spans="1:11">
      <c r="A244" s="3">
        <v>243</v>
      </c>
      <c r="B244" s="3" t="s">
        <v>626</v>
      </c>
      <c r="C244" s="3" t="s">
        <v>627</v>
      </c>
      <c r="D244" s="3">
        <v>646.26255</v>
      </c>
      <c r="E244" s="3">
        <f t="shared" si="9"/>
        <v>647.26983</v>
      </c>
      <c r="F244" s="3">
        <f t="shared" si="10"/>
        <v>664.29638</v>
      </c>
      <c r="G244" s="3">
        <f t="shared" si="11"/>
        <v>669.25177</v>
      </c>
      <c r="H244" s="3" t="s">
        <v>628</v>
      </c>
      <c r="I244" s="3"/>
      <c r="J244" s="3"/>
      <c r="K244" s="8"/>
    </row>
    <row r="245" spans="1:8">
      <c r="A245" s="1">
        <v>244</v>
      </c>
      <c r="B245" s="1" t="s">
        <v>629</v>
      </c>
      <c r="C245" s="1" t="s">
        <v>620</v>
      </c>
      <c r="D245" s="1">
        <v>604.252</v>
      </c>
      <c r="E245" s="1">
        <f t="shared" si="9"/>
        <v>605.25928</v>
      </c>
      <c r="F245" s="1">
        <f t="shared" si="10"/>
        <v>622.28583</v>
      </c>
      <c r="G245" s="1">
        <f t="shared" si="11"/>
        <v>627.24122</v>
      </c>
      <c r="H245" s="1" t="s">
        <v>630</v>
      </c>
    </row>
    <row r="246" spans="1:8">
      <c r="A246" s="1">
        <v>245</v>
      </c>
      <c r="B246" s="1" t="s">
        <v>631</v>
      </c>
      <c r="C246" s="1" t="s">
        <v>627</v>
      </c>
      <c r="D246" s="1">
        <v>646.26254</v>
      </c>
      <c r="E246" s="1">
        <f t="shared" si="9"/>
        <v>647.26982</v>
      </c>
      <c r="F246" s="1">
        <f t="shared" si="10"/>
        <v>664.29637</v>
      </c>
      <c r="G246" s="1">
        <f t="shared" si="11"/>
        <v>669.25176</v>
      </c>
      <c r="H246" s="1" t="s">
        <v>632</v>
      </c>
    </row>
    <row r="247" spans="1:8">
      <c r="A247" s="1">
        <v>246</v>
      </c>
      <c r="B247" s="1" t="s">
        <v>633</v>
      </c>
      <c r="C247" s="1" t="s">
        <v>634</v>
      </c>
      <c r="D247" s="1">
        <v>602.2363</v>
      </c>
      <c r="E247" s="1">
        <f t="shared" si="9"/>
        <v>603.24358</v>
      </c>
      <c r="F247" s="1">
        <f t="shared" si="10"/>
        <v>620.27013</v>
      </c>
      <c r="G247" s="1">
        <f t="shared" si="11"/>
        <v>625.22552</v>
      </c>
      <c r="H247" s="1" t="s">
        <v>635</v>
      </c>
    </row>
    <row r="248" spans="1:8">
      <c r="A248" s="1">
        <v>247</v>
      </c>
      <c r="B248" s="1" t="s">
        <v>636</v>
      </c>
      <c r="C248" s="1" t="s">
        <v>637</v>
      </c>
      <c r="D248" s="1">
        <v>600.2207</v>
      </c>
      <c r="E248" s="1">
        <f t="shared" si="9"/>
        <v>601.22798</v>
      </c>
      <c r="F248" s="1">
        <f t="shared" si="10"/>
        <v>618.25453</v>
      </c>
      <c r="G248" s="1">
        <f t="shared" si="11"/>
        <v>623.20992</v>
      </c>
      <c r="H248" s="1" t="s">
        <v>638</v>
      </c>
    </row>
    <row r="249" spans="1:8">
      <c r="A249" s="1">
        <v>248</v>
      </c>
      <c r="B249" s="1" t="s">
        <v>639</v>
      </c>
      <c r="C249" s="1" t="s">
        <v>634</v>
      </c>
      <c r="D249" s="1">
        <v>602.2363</v>
      </c>
      <c r="E249" s="1">
        <f t="shared" si="9"/>
        <v>603.24358</v>
      </c>
      <c r="F249" s="1">
        <f t="shared" si="10"/>
        <v>620.27013</v>
      </c>
      <c r="G249" s="1">
        <f t="shared" si="11"/>
        <v>625.22552</v>
      </c>
      <c r="H249" s="1" t="s">
        <v>640</v>
      </c>
    </row>
    <row r="250" spans="1:8">
      <c r="A250" s="1">
        <v>249</v>
      </c>
      <c r="B250" s="1" t="s">
        <v>641</v>
      </c>
      <c r="C250" s="1" t="s">
        <v>558</v>
      </c>
      <c r="D250" s="1">
        <v>672.2782</v>
      </c>
      <c r="E250" s="1">
        <f t="shared" si="9"/>
        <v>673.28548</v>
      </c>
      <c r="F250" s="1">
        <f t="shared" si="10"/>
        <v>690.31203</v>
      </c>
      <c r="G250" s="1">
        <f t="shared" si="11"/>
        <v>695.26742</v>
      </c>
      <c r="H250" s="1" t="s">
        <v>642</v>
      </c>
    </row>
    <row r="251" spans="1:8">
      <c r="A251" s="1">
        <v>250</v>
      </c>
      <c r="B251" s="1" t="s">
        <v>643</v>
      </c>
      <c r="C251" s="1" t="s">
        <v>644</v>
      </c>
      <c r="D251" s="1">
        <v>776.3044</v>
      </c>
      <c r="E251" s="1">
        <f t="shared" si="9"/>
        <v>777.31168</v>
      </c>
      <c r="F251" s="1">
        <f t="shared" si="10"/>
        <v>794.33823</v>
      </c>
      <c r="G251" s="1">
        <f t="shared" si="11"/>
        <v>799.29362</v>
      </c>
      <c r="H251" s="1" t="s">
        <v>645</v>
      </c>
    </row>
    <row r="252" spans="1:8">
      <c r="A252" s="1">
        <v>251</v>
      </c>
      <c r="B252" s="1" t="s">
        <v>646</v>
      </c>
      <c r="C252" s="1" t="s">
        <v>647</v>
      </c>
      <c r="D252" s="1">
        <v>838.3201</v>
      </c>
      <c r="E252" s="1">
        <f t="shared" si="9"/>
        <v>839.32738</v>
      </c>
      <c r="F252" s="1">
        <f t="shared" si="10"/>
        <v>856.35393</v>
      </c>
      <c r="G252" s="1">
        <f t="shared" si="11"/>
        <v>861.30932</v>
      </c>
      <c r="H252" s="1" t="s">
        <v>648</v>
      </c>
    </row>
    <row r="253" spans="1:8">
      <c r="A253" s="1">
        <v>252</v>
      </c>
      <c r="B253" s="1" t="s">
        <v>649</v>
      </c>
      <c r="C253" s="1" t="s">
        <v>644</v>
      </c>
      <c r="D253" s="1">
        <v>776.3044</v>
      </c>
      <c r="E253" s="1">
        <f t="shared" si="9"/>
        <v>777.31168</v>
      </c>
      <c r="F253" s="1">
        <f t="shared" si="10"/>
        <v>794.33823</v>
      </c>
      <c r="G253" s="1">
        <f t="shared" si="11"/>
        <v>799.29362</v>
      </c>
      <c r="H253" s="1" t="s">
        <v>650</v>
      </c>
    </row>
    <row r="254" spans="1:8">
      <c r="A254" s="1">
        <v>253</v>
      </c>
      <c r="B254" s="1" t="s">
        <v>651</v>
      </c>
      <c r="C254" s="1" t="s">
        <v>652</v>
      </c>
      <c r="D254" s="1">
        <v>763.3204</v>
      </c>
      <c r="E254" s="1">
        <f t="shared" si="9"/>
        <v>764.32768</v>
      </c>
      <c r="F254" s="1">
        <f t="shared" si="10"/>
        <v>781.35423</v>
      </c>
      <c r="G254" s="1">
        <f t="shared" si="11"/>
        <v>786.30962</v>
      </c>
      <c r="H254" s="1" t="s">
        <v>653</v>
      </c>
    </row>
    <row r="255" spans="1:8">
      <c r="A255" s="1">
        <v>254</v>
      </c>
      <c r="B255" s="1" t="s">
        <v>654</v>
      </c>
      <c r="C255" s="1" t="s">
        <v>655</v>
      </c>
      <c r="D255" s="1">
        <v>777.336</v>
      </c>
      <c r="E255" s="1">
        <f t="shared" si="9"/>
        <v>778.34328</v>
      </c>
      <c r="F255" s="1">
        <f t="shared" si="10"/>
        <v>795.36983</v>
      </c>
      <c r="G255" s="1">
        <f t="shared" si="11"/>
        <v>800.32522</v>
      </c>
      <c r="H255" s="1" t="s">
        <v>656</v>
      </c>
    </row>
    <row r="256" spans="1:8">
      <c r="A256" s="1">
        <v>255</v>
      </c>
      <c r="B256" s="1" t="s">
        <v>657</v>
      </c>
      <c r="C256" s="1" t="s">
        <v>658</v>
      </c>
      <c r="D256" s="1">
        <v>805.3673</v>
      </c>
      <c r="E256" s="1">
        <f t="shared" si="9"/>
        <v>806.37458</v>
      </c>
      <c r="F256" s="1">
        <f t="shared" si="10"/>
        <v>823.40113</v>
      </c>
      <c r="G256" s="1">
        <f t="shared" si="11"/>
        <v>828.35652</v>
      </c>
      <c r="H256" s="1" t="s">
        <v>659</v>
      </c>
    </row>
    <row r="257" spans="1:8">
      <c r="A257" s="1">
        <v>256</v>
      </c>
      <c r="B257" s="1" t="s">
        <v>660</v>
      </c>
      <c r="C257" s="1" t="s">
        <v>661</v>
      </c>
      <c r="D257" s="1">
        <v>791.3153</v>
      </c>
      <c r="E257" s="1">
        <f t="shared" si="9"/>
        <v>792.32258</v>
      </c>
      <c r="F257" s="1">
        <f t="shared" si="10"/>
        <v>809.34913</v>
      </c>
      <c r="G257" s="1">
        <f t="shared" si="11"/>
        <v>814.30452</v>
      </c>
      <c r="H257" s="1" t="s">
        <v>662</v>
      </c>
    </row>
    <row r="258" spans="1:8">
      <c r="A258" s="1">
        <v>257</v>
      </c>
      <c r="B258" s="1" t="s">
        <v>663</v>
      </c>
      <c r="C258" s="1" t="s">
        <v>664</v>
      </c>
      <c r="D258" s="1">
        <v>819.3466</v>
      </c>
      <c r="E258" s="1">
        <f t="shared" si="9"/>
        <v>820.35388</v>
      </c>
      <c r="F258" s="1">
        <f t="shared" si="10"/>
        <v>837.38043</v>
      </c>
      <c r="G258" s="1">
        <f t="shared" si="11"/>
        <v>842.33582</v>
      </c>
      <c r="H258" s="1" t="s">
        <v>665</v>
      </c>
    </row>
    <row r="259" spans="1:8">
      <c r="A259" s="1">
        <v>258</v>
      </c>
      <c r="B259" s="1" t="s">
        <v>666</v>
      </c>
      <c r="C259" s="1" t="s">
        <v>667</v>
      </c>
      <c r="D259" s="1">
        <v>847.3779</v>
      </c>
      <c r="E259" s="1">
        <f t="shared" ref="E259:E322" si="12">D259+1.00728</f>
        <v>848.38518</v>
      </c>
      <c r="F259" s="1">
        <f t="shared" ref="F259:F322" si="13">D259+18.03383</f>
        <v>865.41173</v>
      </c>
      <c r="G259" s="1">
        <f t="shared" ref="G259:G322" si="14">D259+22.98922</f>
        <v>870.36712</v>
      </c>
      <c r="H259" s="1" t="s">
        <v>668</v>
      </c>
    </row>
    <row r="260" spans="1:8">
      <c r="A260" s="1">
        <v>259</v>
      </c>
      <c r="B260" s="1" t="s">
        <v>669</v>
      </c>
      <c r="C260" s="1" t="s">
        <v>670</v>
      </c>
      <c r="D260" s="1">
        <v>861.3936</v>
      </c>
      <c r="E260" s="1">
        <f t="shared" si="12"/>
        <v>862.40088</v>
      </c>
      <c r="F260" s="1">
        <f t="shared" si="13"/>
        <v>879.42743</v>
      </c>
      <c r="G260" s="1">
        <f t="shared" si="14"/>
        <v>884.38282</v>
      </c>
      <c r="H260" s="1" t="s">
        <v>671</v>
      </c>
    </row>
    <row r="261" spans="1:8">
      <c r="A261" s="1">
        <v>260</v>
      </c>
      <c r="B261" s="1" t="s">
        <v>672</v>
      </c>
      <c r="C261" s="1" t="s">
        <v>673</v>
      </c>
      <c r="D261" s="1">
        <v>875.40921</v>
      </c>
      <c r="E261" s="1">
        <f t="shared" si="12"/>
        <v>876.41649</v>
      </c>
      <c r="F261" s="1">
        <f t="shared" si="13"/>
        <v>893.44304</v>
      </c>
      <c r="G261" s="1">
        <f t="shared" si="14"/>
        <v>898.39843</v>
      </c>
      <c r="H261" s="1" t="s">
        <v>674</v>
      </c>
    </row>
    <row r="262" spans="1:8">
      <c r="A262" s="1">
        <v>262</v>
      </c>
      <c r="B262" s="1" t="s">
        <v>675</v>
      </c>
      <c r="C262" s="1" t="s">
        <v>676</v>
      </c>
      <c r="D262" s="1">
        <v>909.3783</v>
      </c>
      <c r="E262" s="1">
        <f t="shared" si="12"/>
        <v>910.38558</v>
      </c>
      <c r="F262" s="1">
        <f t="shared" si="13"/>
        <v>927.41213</v>
      </c>
      <c r="G262" s="1">
        <f t="shared" si="14"/>
        <v>932.36752</v>
      </c>
      <c r="H262" s="1" t="s">
        <v>677</v>
      </c>
    </row>
    <row r="263" spans="1:8">
      <c r="A263" s="1">
        <v>263</v>
      </c>
      <c r="B263" s="1" t="s">
        <v>678</v>
      </c>
      <c r="C263" s="1" t="s">
        <v>679</v>
      </c>
      <c r="D263" s="1">
        <v>937.4096</v>
      </c>
      <c r="E263" s="1">
        <f t="shared" si="12"/>
        <v>938.41688</v>
      </c>
      <c r="F263" s="1">
        <f t="shared" si="13"/>
        <v>955.44343</v>
      </c>
      <c r="G263" s="1">
        <f t="shared" si="14"/>
        <v>960.39882</v>
      </c>
      <c r="H263" s="1" t="s">
        <v>680</v>
      </c>
    </row>
    <row r="264" spans="1:8">
      <c r="A264" s="1">
        <v>264</v>
      </c>
      <c r="B264" s="1" t="s">
        <v>681</v>
      </c>
      <c r="C264" s="1" t="s">
        <v>682</v>
      </c>
      <c r="D264" s="1">
        <v>951.3889</v>
      </c>
      <c r="E264" s="1">
        <f t="shared" si="12"/>
        <v>952.39618</v>
      </c>
      <c r="F264" s="1">
        <f t="shared" si="13"/>
        <v>969.42273</v>
      </c>
      <c r="G264" s="1">
        <f t="shared" si="14"/>
        <v>974.37812</v>
      </c>
      <c r="H264" s="1" t="s">
        <v>683</v>
      </c>
    </row>
    <row r="265" spans="1:11">
      <c r="A265" s="1">
        <v>265</v>
      </c>
      <c r="B265" s="1" t="s">
        <v>684</v>
      </c>
      <c r="C265" s="1" t="s">
        <v>685</v>
      </c>
      <c r="D265" s="1">
        <v>979.4202</v>
      </c>
      <c r="E265" s="1">
        <f t="shared" si="12"/>
        <v>980.42748</v>
      </c>
      <c r="F265" s="1">
        <f t="shared" si="13"/>
        <v>997.45403</v>
      </c>
      <c r="G265" s="1">
        <f t="shared" si="14"/>
        <v>1002.40942</v>
      </c>
      <c r="H265" s="4" t="s">
        <v>686</v>
      </c>
      <c r="K265" s="11"/>
    </row>
    <row r="266" spans="1:8">
      <c r="A266" s="1">
        <v>266</v>
      </c>
      <c r="B266" s="1" t="s">
        <v>687</v>
      </c>
      <c r="C266" s="1" t="s">
        <v>688</v>
      </c>
      <c r="D266" s="1">
        <v>993.4358</v>
      </c>
      <c r="E266" s="1">
        <f t="shared" si="12"/>
        <v>994.44308</v>
      </c>
      <c r="F266" s="1">
        <f t="shared" si="13"/>
        <v>1011.46963</v>
      </c>
      <c r="G266" s="1">
        <f t="shared" si="14"/>
        <v>1016.42502</v>
      </c>
      <c r="H266" s="1" t="s">
        <v>689</v>
      </c>
    </row>
    <row r="267" spans="1:8">
      <c r="A267" s="1">
        <v>267</v>
      </c>
      <c r="B267" s="1" t="s">
        <v>690</v>
      </c>
      <c r="C267" s="1" t="s">
        <v>658</v>
      </c>
      <c r="D267" s="1">
        <v>805.3673</v>
      </c>
      <c r="E267" s="1">
        <f t="shared" si="12"/>
        <v>806.37458</v>
      </c>
      <c r="F267" s="1">
        <f t="shared" si="13"/>
        <v>823.40113</v>
      </c>
      <c r="G267" s="1">
        <f t="shared" si="14"/>
        <v>828.35652</v>
      </c>
      <c r="H267" s="1" t="s">
        <v>691</v>
      </c>
    </row>
    <row r="268" spans="1:8">
      <c r="A268" s="1">
        <v>268</v>
      </c>
      <c r="B268" s="1" t="s">
        <v>692</v>
      </c>
      <c r="C268" s="1" t="s">
        <v>667</v>
      </c>
      <c r="D268" s="1">
        <v>847.3779</v>
      </c>
      <c r="E268" s="1">
        <f t="shared" si="12"/>
        <v>848.38518</v>
      </c>
      <c r="F268" s="1">
        <f t="shared" si="13"/>
        <v>865.41173</v>
      </c>
      <c r="G268" s="1">
        <f t="shared" si="14"/>
        <v>870.36712</v>
      </c>
      <c r="H268" s="1" t="s">
        <v>693</v>
      </c>
    </row>
    <row r="269" spans="1:8">
      <c r="A269" s="1">
        <v>270</v>
      </c>
      <c r="B269" s="1" t="s">
        <v>694</v>
      </c>
      <c r="C269" s="1" t="s">
        <v>695</v>
      </c>
      <c r="D269" s="1">
        <v>789.336</v>
      </c>
      <c r="E269" s="1">
        <f t="shared" si="12"/>
        <v>790.34328</v>
      </c>
      <c r="F269" s="1">
        <f t="shared" si="13"/>
        <v>807.36983</v>
      </c>
      <c r="G269" s="1">
        <f t="shared" si="14"/>
        <v>812.32522</v>
      </c>
      <c r="H269" s="1" t="s">
        <v>696</v>
      </c>
    </row>
    <row r="270" spans="1:8">
      <c r="A270" s="1">
        <v>271</v>
      </c>
      <c r="B270" s="1" t="s">
        <v>697</v>
      </c>
      <c r="C270" s="1" t="s">
        <v>698</v>
      </c>
      <c r="D270" s="1">
        <v>831.3466</v>
      </c>
      <c r="E270" s="1">
        <f t="shared" si="12"/>
        <v>832.35388</v>
      </c>
      <c r="F270" s="1">
        <f t="shared" si="13"/>
        <v>849.38043</v>
      </c>
      <c r="G270" s="1">
        <f t="shared" si="14"/>
        <v>854.33582</v>
      </c>
      <c r="H270" s="1" t="s">
        <v>699</v>
      </c>
    </row>
    <row r="271" spans="1:8">
      <c r="A271" s="1">
        <v>272</v>
      </c>
      <c r="B271" s="1" t="s">
        <v>700</v>
      </c>
      <c r="C271" s="1" t="s">
        <v>701</v>
      </c>
      <c r="D271" s="1">
        <v>833.3623</v>
      </c>
      <c r="E271" s="1">
        <f t="shared" si="12"/>
        <v>834.36958</v>
      </c>
      <c r="F271" s="1">
        <f t="shared" si="13"/>
        <v>851.39613</v>
      </c>
      <c r="G271" s="1">
        <f t="shared" si="14"/>
        <v>856.35152</v>
      </c>
      <c r="H271" s="1" t="s">
        <v>702</v>
      </c>
    </row>
    <row r="272" spans="1:8">
      <c r="A272" s="1">
        <v>273</v>
      </c>
      <c r="B272" s="1" t="s">
        <v>703</v>
      </c>
      <c r="C272" s="1" t="s">
        <v>704</v>
      </c>
      <c r="D272" s="1">
        <v>861.3936</v>
      </c>
      <c r="E272" s="1">
        <f t="shared" si="12"/>
        <v>862.40088</v>
      </c>
      <c r="F272" s="1">
        <f t="shared" si="13"/>
        <v>879.42743</v>
      </c>
      <c r="G272" s="1">
        <f t="shared" si="14"/>
        <v>884.38282</v>
      </c>
      <c r="H272" s="1" t="s">
        <v>705</v>
      </c>
    </row>
    <row r="273" spans="1:8">
      <c r="A273" s="1">
        <v>274</v>
      </c>
      <c r="B273" s="1" t="s">
        <v>706</v>
      </c>
      <c r="C273" s="1" t="s">
        <v>673</v>
      </c>
      <c r="D273" s="1">
        <v>875.4092</v>
      </c>
      <c r="E273" s="1">
        <f t="shared" si="12"/>
        <v>876.41648</v>
      </c>
      <c r="F273" s="1">
        <f t="shared" si="13"/>
        <v>893.44303</v>
      </c>
      <c r="G273" s="1">
        <f t="shared" si="14"/>
        <v>898.39842</v>
      </c>
      <c r="H273" s="1" t="s">
        <v>707</v>
      </c>
    </row>
    <row r="274" spans="1:8">
      <c r="A274" s="1">
        <v>275</v>
      </c>
      <c r="B274" s="1" t="s">
        <v>708</v>
      </c>
      <c r="C274" s="1" t="s">
        <v>709</v>
      </c>
      <c r="D274" s="1">
        <v>915.4405</v>
      </c>
      <c r="E274" s="1">
        <f t="shared" si="12"/>
        <v>916.44778</v>
      </c>
      <c r="F274" s="1">
        <f t="shared" si="13"/>
        <v>933.47433</v>
      </c>
      <c r="G274" s="1">
        <f t="shared" si="14"/>
        <v>938.42972</v>
      </c>
      <c r="H274" s="1" t="s">
        <v>710</v>
      </c>
    </row>
    <row r="275" spans="1:8">
      <c r="A275" s="1">
        <v>276</v>
      </c>
      <c r="B275" s="1" t="s">
        <v>711</v>
      </c>
      <c r="C275" s="1" t="s">
        <v>712</v>
      </c>
      <c r="D275" s="1">
        <v>951.4252</v>
      </c>
      <c r="E275" s="1">
        <f t="shared" si="12"/>
        <v>952.43248</v>
      </c>
      <c r="F275" s="1">
        <f t="shared" si="13"/>
        <v>969.45903</v>
      </c>
      <c r="G275" s="1">
        <f t="shared" si="14"/>
        <v>974.41442</v>
      </c>
      <c r="H275" s="1" t="s">
        <v>713</v>
      </c>
    </row>
    <row r="276" spans="1:8">
      <c r="A276" s="1">
        <v>277</v>
      </c>
      <c r="B276" s="1" t="s">
        <v>714</v>
      </c>
      <c r="C276" s="1" t="s">
        <v>715</v>
      </c>
      <c r="D276" s="1">
        <v>963.3889</v>
      </c>
      <c r="E276" s="1">
        <f t="shared" si="12"/>
        <v>964.39618</v>
      </c>
      <c r="F276" s="1">
        <f t="shared" si="13"/>
        <v>981.42273</v>
      </c>
      <c r="G276" s="1">
        <f t="shared" si="14"/>
        <v>986.37812</v>
      </c>
      <c r="H276" s="1" t="s">
        <v>716</v>
      </c>
    </row>
    <row r="277" spans="1:8">
      <c r="A277" s="1">
        <v>278</v>
      </c>
      <c r="B277" s="1" t="s">
        <v>717</v>
      </c>
      <c r="C277" s="1" t="s">
        <v>698</v>
      </c>
      <c r="D277" s="1">
        <v>831.3466</v>
      </c>
      <c r="E277" s="1">
        <f t="shared" si="12"/>
        <v>832.35388</v>
      </c>
      <c r="F277" s="1">
        <f t="shared" si="13"/>
        <v>849.38043</v>
      </c>
      <c r="G277" s="1">
        <f t="shared" si="14"/>
        <v>854.33582</v>
      </c>
      <c r="H277" s="1" t="s">
        <v>718</v>
      </c>
    </row>
    <row r="278" spans="1:8">
      <c r="A278" s="1">
        <v>279</v>
      </c>
      <c r="B278" s="1" t="s">
        <v>719</v>
      </c>
      <c r="C278" s="1" t="s">
        <v>720</v>
      </c>
      <c r="D278" s="1">
        <v>873.3572</v>
      </c>
      <c r="E278" s="1">
        <f t="shared" si="12"/>
        <v>874.36448</v>
      </c>
      <c r="F278" s="1">
        <f t="shared" si="13"/>
        <v>891.39103</v>
      </c>
      <c r="G278" s="1">
        <f t="shared" si="14"/>
        <v>896.34642</v>
      </c>
      <c r="H278" s="1" t="s">
        <v>721</v>
      </c>
    </row>
    <row r="279" spans="1:8">
      <c r="A279" s="1">
        <v>280</v>
      </c>
      <c r="B279" s="1" t="s">
        <v>722</v>
      </c>
      <c r="C279" s="1" t="s">
        <v>723</v>
      </c>
      <c r="D279" s="1">
        <v>787.3204</v>
      </c>
      <c r="E279" s="1">
        <f t="shared" si="12"/>
        <v>788.32768</v>
      </c>
      <c r="F279" s="1">
        <f t="shared" si="13"/>
        <v>805.35423</v>
      </c>
      <c r="G279" s="1">
        <f t="shared" si="14"/>
        <v>810.30962</v>
      </c>
      <c r="H279" s="1" t="s">
        <v>724</v>
      </c>
    </row>
    <row r="280" spans="1:8">
      <c r="A280" s="1">
        <v>281</v>
      </c>
      <c r="B280" s="1" t="s">
        <v>725</v>
      </c>
      <c r="C280" s="1" t="s">
        <v>726</v>
      </c>
      <c r="D280" s="1">
        <v>837.336</v>
      </c>
      <c r="E280" s="1">
        <f t="shared" si="12"/>
        <v>838.34328</v>
      </c>
      <c r="F280" s="1">
        <f t="shared" si="13"/>
        <v>855.36983</v>
      </c>
      <c r="G280" s="1">
        <f t="shared" si="14"/>
        <v>860.32522</v>
      </c>
      <c r="H280" s="1" t="s">
        <v>727</v>
      </c>
    </row>
    <row r="281" spans="1:11">
      <c r="A281" s="3">
        <v>282</v>
      </c>
      <c r="B281" s="3" t="s">
        <v>728</v>
      </c>
      <c r="C281" s="3" t="s">
        <v>729</v>
      </c>
      <c r="D281" s="3">
        <v>811.3204</v>
      </c>
      <c r="E281" s="3">
        <f t="shared" si="12"/>
        <v>812.32768</v>
      </c>
      <c r="F281" s="3">
        <f t="shared" si="13"/>
        <v>829.35423</v>
      </c>
      <c r="G281" s="3">
        <f t="shared" si="14"/>
        <v>834.30962</v>
      </c>
      <c r="H281" s="3" t="s">
        <v>730</v>
      </c>
      <c r="I281" s="3"/>
      <c r="J281" s="3"/>
      <c r="K281" s="8"/>
    </row>
    <row r="282" spans="1:11">
      <c r="A282" s="3">
        <v>283</v>
      </c>
      <c r="B282" s="3" t="s">
        <v>731</v>
      </c>
      <c r="C282" s="3" t="s">
        <v>732</v>
      </c>
      <c r="D282" s="3">
        <v>853.331</v>
      </c>
      <c r="E282" s="3">
        <f t="shared" si="12"/>
        <v>854.33828</v>
      </c>
      <c r="F282" s="3">
        <f t="shared" si="13"/>
        <v>871.36483</v>
      </c>
      <c r="G282" s="3">
        <f t="shared" si="14"/>
        <v>876.32022</v>
      </c>
      <c r="H282" s="3" t="s">
        <v>733</v>
      </c>
      <c r="I282" s="3"/>
      <c r="J282" s="3"/>
      <c r="K282" s="8"/>
    </row>
    <row r="283" spans="1:8">
      <c r="A283" s="1">
        <v>284</v>
      </c>
      <c r="B283" s="1" t="s">
        <v>734</v>
      </c>
      <c r="C283" s="1" t="s">
        <v>735</v>
      </c>
      <c r="D283" s="1">
        <v>879.3466</v>
      </c>
      <c r="E283" s="1">
        <f t="shared" si="12"/>
        <v>880.35388</v>
      </c>
      <c r="F283" s="1">
        <f t="shared" si="13"/>
        <v>897.38043</v>
      </c>
      <c r="G283" s="1">
        <f t="shared" si="14"/>
        <v>902.33582</v>
      </c>
      <c r="H283" s="1" t="s">
        <v>736</v>
      </c>
    </row>
    <row r="284" spans="1:8">
      <c r="A284" s="1">
        <v>285</v>
      </c>
      <c r="B284" s="1" t="s">
        <v>737</v>
      </c>
      <c r="C284" s="1" t="s">
        <v>738</v>
      </c>
      <c r="D284" s="1">
        <v>867.3466</v>
      </c>
      <c r="E284" s="1">
        <f t="shared" si="12"/>
        <v>868.35388</v>
      </c>
      <c r="F284" s="1">
        <f t="shared" si="13"/>
        <v>885.38043</v>
      </c>
      <c r="G284" s="1">
        <f t="shared" si="14"/>
        <v>890.33582</v>
      </c>
      <c r="H284" s="1" t="s">
        <v>739</v>
      </c>
    </row>
    <row r="285" spans="1:8">
      <c r="A285" s="1">
        <v>286</v>
      </c>
      <c r="B285" s="1" t="s">
        <v>740</v>
      </c>
      <c r="C285" s="1" t="s">
        <v>741</v>
      </c>
      <c r="D285" s="1">
        <v>853.331</v>
      </c>
      <c r="E285" s="1">
        <f t="shared" si="12"/>
        <v>854.33828</v>
      </c>
      <c r="F285" s="1">
        <f t="shared" si="13"/>
        <v>871.36483</v>
      </c>
      <c r="G285" s="1">
        <f t="shared" si="14"/>
        <v>876.32022</v>
      </c>
      <c r="H285" s="1" t="s">
        <v>742</v>
      </c>
    </row>
    <row r="286" spans="1:8">
      <c r="A286" s="1">
        <v>287</v>
      </c>
      <c r="B286" s="1" t="s">
        <v>743</v>
      </c>
      <c r="C286" s="1" t="s">
        <v>744</v>
      </c>
      <c r="D286" s="1">
        <v>851.3153</v>
      </c>
      <c r="E286" s="1">
        <f t="shared" si="12"/>
        <v>852.32258</v>
      </c>
      <c r="F286" s="1">
        <f t="shared" si="13"/>
        <v>869.34913</v>
      </c>
      <c r="G286" s="1">
        <f t="shared" si="14"/>
        <v>874.30452</v>
      </c>
      <c r="H286" s="1" t="s">
        <v>745</v>
      </c>
    </row>
    <row r="287" spans="1:8">
      <c r="A287" s="1">
        <v>288</v>
      </c>
      <c r="B287" s="1" t="s">
        <v>746</v>
      </c>
      <c r="C287" s="1" t="s">
        <v>747</v>
      </c>
      <c r="D287" s="1">
        <v>943.3626</v>
      </c>
      <c r="E287" s="1">
        <f t="shared" si="12"/>
        <v>944.36988</v>
      </c>
      <c r="F287" s="1">
        <f t="shared" si="13"/>
        <v>961.39643</v>
      </c>
      <c r="G287" s="1">
        <f t="shared" si="14"/>
        <v>966.35182</v>
      </c>
      <c r="H287" s="1" t="s">
        <v>748</v>
      </c>
    </row>
    <row r="288" spans="1:8">
      <c r="A288" s="1">
        <v>289</v>
      </c>
      <c r="B288" s="1" t="s">
        <v>749</v>
      </c>
      <c r="C288" s="1" t="s">
        <v>750</v>
      </c>
      <c r="D288" s="1">
        <v>985.3732</v>
      </c>
      <c r="E288" s="1">
        <f t="shared" si="12"/>
        <v>986.38048</v>
      </c>
      <c r="F288" s="1">
        <f t="shared" si="13"/>
        <v>1003.40703</v>
      </c>
      <c r="G288" s="1">
        <f t="shared" si="14"/>
        <v>1008.36242</v>
      </c>
      <c r="H288" s="1" t="s">
        <v>751</v>
      </c>
    </row>
    <row r="289" spans="1:8">
      <c r="A289" s="1">
        <v>290</v>
      </c>
      <c r="B289" s="1" t="s">
        <v>752</v>
      </c>
      <c r="C289" s="1" t="s">
        <v>753</v>
      </c>
      <c r="D289" s="1">
        <v>831.3466</v>
      </c>
      <c r="E289" s="1">
        <f t="shared" si="12"/>
        <v>832.35388</v>
      </c>
      <c r="F289" s="1">
        <f t="shared" si="13"/>
        <v>849.38043</v>
      </c>
      <c r="G289" s="1">
        <f t="shared" si="14"/>
        <v>854.33582</v>
      </c>
      <c r="H289" s="1" t="s">
        <v>754</v>
      </c>
    </row>
    <row r="290" spans="1:8">
      <c r="A290" s="1">
        <v>291</v>
      </c>
      <c r="B290" s="1" t="s">
        <v>755</v>
      </c>
      <c r="C290" s="1" t="s">
        <v>729</v>
      </c>
      <c r="D290" s="1">
        <v>811.3204</v>
      </c>
      <c r="E290" s="1">
        <f t="shared" si="12"/>
        <v>812.32768</v>
      </c>
      <c r="F290" s="1">
        <f t="shared" si="13"/>
        <v>829.35423</v>
      </c>
      <c r="G290" s="1">
        <f t="shared" si="14"/>
        <v>834.30962</v>
      </c>
      <c r="H290" s="1" t="s">
        <v>756</v>
      </c>
    </row>
    <row r="291" spans="1:8">
      <c r="A291" s="1">
        <v>292</v>
      </c>
      <c r="B291" s="1" t="s">
        <v>757</v>
      </c>
      <c r="C291" s="1" t="s">
        <v>732</v>
      </c>
      <c r="D291" s="1">
        <v>853.331</v>
      </c>
      <c r="E291" s="1">
        <f t="shared" si="12"/>
        <v>854.33828</v>
      </c>
      <c r="F291" s="1">
        <f t="shared" si="13"/>
        <v>871.36483</v>
      </c>
      <c r="G291" s="1">
        <f t="shared" si="14"/>
        <v>876.32022</v>
      </c>
      <c r="H291" s="1" t="s">
        <v>758</v>
      </c>
    </row>
    <row r="292" spans="1:8">
      <c r="A292" s="1">
        <v>293</v>
      </c>
      <c r="B292" s="1" t="s">
        <v>759</v>
      </c>
      <c r="C292" s="1" t="s">
        <v>760</v>
      </c>
      <c r="D292" s="1">
        <v>895.3415</v>
      </c>
      <c r="E292" s="1">
        <f t="shared" si="12"/>
        <v>896.34878</v>
      </c>
      <c r="F292" s="1">
        <f t="shared" si="13"/>
        <v>913.37533</v>
      </c>
      <c r="G292" s="1">
        <f t="shared" si="14"/>
        <v>918.33072</v>
      </c>
      <c r="H292" s="1" t="s">
        <v>761</v>
      </c>
    </row>
    <row r="293" ht="16.8" spans="1:11">
      <c r="A293" s="1">
        <v>294</v>
      </c>
      <c r="B293" s="1" t="s">
        <v>762</v>
      </c>
      <c r="C293" s="1" t="s">
        <v>763</v>
      </c>
      <c r="D293" s="1">
        <v>809.3047</v>
      </c>
      <c r="E293" s="1">
        <f t="shared" si="12"/>
        <v>810.31198</v>
      </c>
      <c r="F293" s="1">
        <f t="shared" si="13"/>
        <v>827.33853</v>
      </c>
      <c r="G293" s="1">
        <f t="shared" si="14"/>
        <v>832.29392</v>
      </c>
      <c r="H293" s="10" t="s">
        <v>764</v>
      </c>
      <c r="K293" s="1"/>
    </row>
    <row r="294" spans="1:8">
      <c r="A294" s="1">
        <v>295</v>
      </c>
      <c r="B294" s="1" t="s">
        <v>765</v>
      </c>
      <c r="C294" s="1" t="s">
        <v>766</v>
      </c>
      <c r="D294" s="1">
        <v>855.3466</v>
      </c>
      <c r="E294" s="1">
        <f t="shared" si="12"/>
        <v>856.35388</v>
      </c>
      <c r="F294" s="1">
        <f t="shared" si="13"/>
        <v>873.38043</v>
      </c>
      <c r="G294" s="1">
        <f t="shared" si="14"/>
        <v>878.33582</v>
      </c>
      <c r="H294" s="1" t="s">
        <v>767</v>
      </c>
    </row>
    <row r="295" spans="1:8">
      <c r="A295" s="1">
        <v>296</v>
      </c>
      <c r="B295" s="1" t="s">
        <v>768</v>
      </c>
      <c r="C295" s="1" t="s">
        <v>769</v>
      </c>
      <c r="D295" s="1">
        <v>512.2622</v>
      </c>
      <c r="E295" s="1">
        <f t="shared" si="12"/>
        <v>513.26948</v>
      </c>
      <c r="F295" s="1">
        <f t="shared" si="13"/>
        <v>530.29603</v>
      </c>
      <c r="G295" s="1">
        <f t="shared" si="14"/>
        <v>535.25142</v>
      </c>
      <c r="H295" s="1" t="s">
        <v>770</v>
      </c>
    </row>
    <row r="296" spans="1:8">
      <c r="A296" s="1">
        <v>297</v>
      </c>
      <c r="B296" s="1" t="s">
        <v>771</v>
      </c>
      <c r="C296" s="1" t="s">
        <v>772</v>
      </c>
      <c r="D296" s="1">
        <v>554.2727</v>
      </c>
      <c r="E296" s="1">
        <f t="shared" si="12"/>
        <v>555.27998</v>
      </c>
      <c r="F296" s="1">
        <f t="shared" si="13"/>
        <v>572.30653</v>
      </c>
      <c r="G296" s="1">
        <f t="shared" si="14"/>
        <v>577.26192</v>
      </c>
      <c r="H296" s="1" t="s">
        <v>773</v>
      </c>
    </row>
    <row r="297" spans="1:8">
      <c r="A297" s="1">
        <v>298</v>
      </c>
      <c r="B297" s="1" t="s">
        <v>774</v>
      </c>
      <c r="C297" s="1" t="s">
        <v>775</v>
      </c>
      <c r="D297" s="1">
        <v>596.2833</v>
      </c>
      <c r="E297" s="1">
        <f t="shared" si="12"/>
        <v>597.29058</v>
      </c>
      <c r="F297" s="1">
        <f t="shared" si="13"/>
        <v>614.31713</v>
      </c>
      <c r="G297" s="1">
        <f t="shared" si="14"/>
        <v>619.27252</v>
      </c>
      <c r="H297" s="1" t="s">
        <v>776</v>
      </c>
    </row>
    <row r="298" spans="1:8">
      <c r="A298" s="1">
        <v>299</v>
      </c>
      <c r="B298" s="1" t="s">
        <v>777</v>
      </c>
      <c r="C298" s="1" t="s">
        <v>778</v>
      </c>
      <c r="D298" s="1">
        <v>638.2938</v>
      </c>
      <c r="E298" s="1">
        <f t="shared" si="12"/>
        <v>639.30108</v>
      </c>
      <c r="F298" s="1">
        <f t="shared" si="13"/>
        <v>656.32763</v>
      </c>
      <c r="G298" s="1">
        <f t="shared" si="14"/>
        <v>661.28302</v>
      </c>
      <c r="H298" s="1" t="s">
        <v>779</v>
      </c>
    </row>
    <row r="299" spans="1:8">
      <c r="A299" s="1">
        <v>300</v>
      </c>
      <c r="B299" s="1" t="s">
        <v>780</v>
      </c>
      <c r="C299" s="1" t="s">
        <v>781</v>
      </c>
      <c r="D299" s="1">
        <v>570.2676</v>
      </c>
      <c r="E299" s="1">
        <f t="shared" si="12"/>
        <v>571.27488</v>
      </c>
      <c r="F299" s="1">
        <f t="shared" si="13"/>
        <v>588.30143</v>
      </c>
      <c r="G299" s="1">
        <f t="shared" si="14"/>
        <v>593.25682</v>
      </c>
      <c r="H299" s="1" t="s">
        <v>782</v>
      </c>
    </row>
    <row r="300" spans="1:8">
      <c r="A300" s="1">
        <v>301</v>
      </c>
      <c r="B300" s="1" t="s">
        <v>783</v>
      </c>
      <c r="C300" s="1" t="s">
        <v>784</v>
      </c>
      <c r="D300" s="1">
        <v>716.3044</v>
      </c>
      <c r="E300" s="1">
        <f t="shared" si="12"/>
        <v>717.31168</v>
      </c>
      <c r="F300" s="1">
        <f t="shared" si="13"/>
        <v>734.33823</v>
      </c>
      <c r="G300" s="1">
        <f t="shared" si="14"/>
        <v>739.29362</v>
      </c>
      <c r="H300" s="1" t="s">
        <v>785</v>
      </c>
    </row>
    <row r="301" spans="1:8">
      <c r="A301" s="1">
        <v>302</v>
      </c>
      <c r="B301" s="1" t="s">
        <v>786</v>
      </c>
      <c r="C301" s="1" t="s">
        <v>772</v>
      </c>
      <c r="D301" s="1">
        <v>554.2727</v>
      </c>
      <c r="E301" s="1">
        <f t="shared" si="12"/>
        <v>555.27998</v>
      </c>
      <c r="F301" s="1">
        <f t="shared" si="13"/>
        <v>572.30653</v>
      </c>
      <c r="G301" s="1">
        <f t="shared" si="14"/>
        <v>577.26192</v>
      </c>
      <c r="H301" s="1" t="s">
        <v>787</v>
      </c>
    </row>
    <row r="302" spans="1:8">
      <c r="A302" s="1">
        <v>303</v>
      </c>
      <c r="B302" s="1" t="s">
        <v>788</v>
      </c>
      <c r="C302" s="1" t="s">
        <v>775</v>
      </c>
      <c r="D302" s="1">
        <v>596.2833</v>
      </c>
      <c r="E302" s="1">
        <f t="shared" si="12"/>
        <v>597.29058</v>
      </c>
      <c r="F302" s="1">
        <f t="shared" si="13"/>
        <v>614.31713</v>
      </c>
      <c r="G302" s="1">
        <f t="shared" si="14"/>
        <v>619.27252</v>
      </c>
      <c r="H302" s="1" t="s">
        <v>789</v>
      </c>
    </row>
    <row r="303" spans="1:8">
      <c r="A303" s="1">
        <v>304</v>
      </c>
      <c r="B303" s="1" t="s">
        <v>790</v>
      </c>
      <c r="C303" s="1" t="s">
        <v>778</v>
      </c>
      <c r="D303" s="1">
        <v>638.2938</v>
      </c>
      <c r="E303" s="1">
        <f t="shared" si="12"/>
        <v>639.30108</v>
      </c>
      <c r="F303" s="1">
        <f t="shared" si="13"/>
        <v>656.32763</v>
      </c>
      <c r="G303" s="1">
        <f t="shared" si="14"/>
        <v>661.28302</v>
      </c>
      <c r="H303" s="1" t="s">
        <v>791</v>
      </c>
    </row>
    <row r="304" spans="1:8">
      <c r="A304" s="1">
        <v>305</v>
      </c>
      <c r="B304" s="1" t="s">
        <v>792</v>
      </c>
      <c r="C304" s="1" t="s">
        <v>793</v>
      </c>
      <c r="D304" s="1">
        <v>768.3357</v>
      </c>
      <c r="E304" s="1">
        <f t="shared" si="12"/>
        <v>769.34298</v>
      </c>
      <c r="F304" s="1">
        <f t="shared" si="13"/>
        <v>786.36953</v>
      </c>
      <c r="G304" s="1">
        <f t="shared" si="14"/>
        <v>791.32492</v>
      </c>
      <c r="H304" s="1" t="s">
        <v>794</v>
      </c>
    </row>
    <row r="305" spans="1:8">
      <c r="A305" s="1">
        <v>306</v>
      </c>
      <c r="B305" s="1" t="s">
        <v>795</v>
      </c>
      <c r="C305" s="1" t="s">
        <v>796</v>
      </c>
      <c r="D305" s="1">
        <v>654.2888</v>
      </c>
      <c r="E305" s="1">
        <f t="shared" si="12"/>
        <v>655.29608</v>
      </c>
      <c r="F305" s="1">
        <f t="shared" si="13"/>
        <v>672.32263</v>
      </c>
      <c r="G305" s="1">
        <f t="shared" si="14"/>
        <v>677.27802</v>
      </c>
      <c r="H305" s="1" t="s">
        <v>797</v>
      </c>
    </row>
    <row r="306" spans="1:8">
      <c r="A306" s="1">
        <v>307</v>
      </c>
      <c r="B306" s="1" t="s">
        <v>798</v>
      </c>
      <c r="C306" s="1" t="s">
        <v>784</v>
      </c>
      <c r="D306" s="1">
        <v>716.3044</v>
      </c>
      <c r="E306" s="1">
        <f t="shared" si="12"/>
        <v>717.31168</v>
      </c>
      <c r="F306" s="1">
        <f t="shared" si="13"/>
        <v>734.33823</v>
      </c>
      <c r="G306" s="1">
        <f t="shared" si="14"/>
        <v>739.29362</v>
      </c>
      <c r="H306" s="1" t="s">
        <v>799</v>
      </c>
    </row>
    <row r="307" spans="1:8">
      <c r="A307" s="1">
        <v>308</v>
      </c>
      <c r="B307" s="1" t="s">
        <v>800</v>
      </c>
      <c r="C307" s="1" t="s">
        <v>784</v>
      </c>
      <c r="D307" s="1">
        <v>716.3044</v>
      </c>
      <c r="E307" s="1">
        <f t="shared" si="12"/>
        <v>717.31168</v>
      </c>
      <c r="F307" s="1">
        <f t="shared" si="13"/>
        <v>734.33823</v>
      </c>
      <c r="G307" s="1">
        <f t="shared" si="14"/>
        <v>739.29362</v>
      </c>
      <c r="H307" s="1" t="s">
        <v>801</v>
      </c>
    </row>
    <row r="308" spans="1:8">
      <c r="A308" s="1">
        <v>309</v>
      </c>
      <c r="B308" s="1" t="s">
        <v>802</v>
      </c>
      <c r="C308" s="1" t="s">
        <v>803</v>
      </c>
      <c r="D308" s="1">
        <v>654.2888</v>
      </c>
      <c r="E308" s="1">
        <f t="shared" si="12"/>
        <v>655.29608</v>
      </c>
      <c r="F308" s="1">
        <f t="shared" si="13"/>
        <v>672.32263</v>
      </c>
      <c r="G308" s="1">
        <f t="shared" si="14"/>
        <v>677.27802</v>
      </c>
      <c r="H308" s="1" t="s">
        <v>804</v>
      </c>
    </row>
    <row r="309" spans="1:8">
      <c r="A309" s="1">
        <v>310</v>
      </c>
      <c r="B309" s="1" t="s">
        <v>805</v>
      </c>
      <c r="C309" s="1" t="s">
        <v>806</v>
      </c>
      <c r="D309" s="1">
        <v>586.2625</v>
      </c>
      <c r="E309" s="1">
        <f t="shared" si="12"/>
        <v>587.26978</v>
      </c>
      <c r="F309" s="1">
        <f t="shared" si="13"/>
        <v>604.29633</v>
      </c>
      <c r="G309" s="1">
        <f t="shared" si="14"/>
        <v>609.25172</v>
      </c>
      <c r="H309" s="1" t="s">
        <v>807</v>
      </c>
    </row>
    <row r="310" spans="1:8">
      <c r="A310" s="1">
        <v>311</v>
      </c>
      <c r="B310" s="1" t="s">
        <v>808</v>
      </c>
      <c r="C310" s="1" t="s">
        <v>809</v>
      </c>
      <c r="D310" s="1">
        <v>670.2837</v>
      </c>
      <c r="E310" s="1">
        <f t="shared" si="12"/>
        <v>671.29098</v>
      </c>
      <c r="F310" s="1">
        <f t="shared" si="13"/>
        <v>688.31753</v>
      </c>
      <c r="G310" s="1">
        <f t="shared" si="14"/>
        <v>693.27292</v>
      </c>
      <c r="H310" s="1" t="s">
        <v>810</v>
      </c>
    </row>
    <row r="311" spans="1:8">
      <c r="A311" s="1">
        <v>312</v>
      </c>
      <c r="B311" s="1" t="s">
        <v>811</v>
      </c>
      <c r="C311" s="1" t="s">
        <v>627</v>
      </c>
      <c r="D311" s="1">
        <v>646.2646</v>
      </c>
      <c r="E311" s="1">
        <f t="shared" si="12"/>
        <v>647.27188</v>
      </c>
      <c r="F311" s="1">
        <f t="shared" si="13"/>
        <v>664.29843</v>
      </c>
      <c r="G311" s="1">
        <f t="shared" si="14"/>
        <v>669.25382</v>
      </c>
      <c r="H311" s="1" t="s">
        <v>812</v>
      </c>
    </row>
    <row r="312" spans="1:8">
      <c r="A312" s="1">
        <v>313</v>
      </c>
      <c r="B312" s="1" t="s">
        <v>813</v>
      </c>
      <c r="C312" s="1" t="s">
        <v>617</v>
      </c>
      <c r="D312" s="1">
        <v>560.2258</v>
      </c>
      <c r="E312" s="1">
        <f t="shared" si="12"/>
        <v>561.23308</v>
      </c>
      <c r="F312" s="1">
        <f t="shared" si="13"/>
        <v>578.25963</v>
      </c>
      <c r="G312" s="1">
        <f t="shared" si="14"/>
        <v>583.21502</v>
      </c>
      <c r="H312" s="1" t="s">
        <v>814</v>
      </c>
    </row>
    <row r="313" spans="1:8">
      <c r="A313" s="1">
        <v>314</v>
      </c>
      <c r="B313" s="1" t="s">
        <v>815</v>
      </c>
      <c r="C313" s="1" t="s">
        <v>816</v>
      </c>
      <c r="D313" s="4">
        <v>510.2101</v>
      </c>
      <c r="E313" s="4">
        <f t="shared" si="12"/>
        <v>511.21738</v>
      </c>
      <c r="F313" s="4">
        <f t="shared" si="13"/>
        <v>528.24393</v>
      </c>
      <c r="G313" s="1">
        <f t="shared" si="14"/>
        <v>533.19932</v>
      </c>
      <c r="H313" s="1" t="s">
        <v>817</v>
      </c>
    </row>
    <row r="314" spans="1:8">
      <c r="A314" s="1">
        <v>315</v>
      </c>
      <c r="B314" s="1" t="s">
        <v>818</v>
      </c>
      <c r="C314" s="1" t="s">
        <v>819</v>
      </c>
      <c r="D314" s="1">
        <v>566.2363</v>
      </c>
      <c r="E314" s="1">
        <f t="shared" si="12"/>
        <v>567.24358</v>
      </c>
      <c r="F314" s="1">
        <f t="shared" si="13"/>
        <v>584.27013</v>
      </c>
      <c r="G314" s="1">
        <f t="shared" si="14"/>
        <v>589.22552</v>
      </c>
      <c r="H314" s="1" t="s">
        <v>820</v>
      </c>
    </row>
    <row r="315" spans="1:8">
      <c r="A315" s="1">
        <v>316</v>
      </c>
      <c r="B315" s="1" t="s">
        <v>821</v>
      </c>
      <c r="C315" s="1" t="s">
        <v>822</v>
      </c>
      <c r="D315" s="1">
        <v>624.2418</v>
      </c>
      <c r="E315" s="1">
        <f t="shared" si="12"/>
        <v>625.24908</v>
      </c>
      <c r="F315" s="1">
        <f t="shared" si="13"/>
        <v>642.27563</v>
      </c>
      <c r="G315" s="1">
        <f t="shared" si="14"/>
        <v>647.23102</v>
      </c>
      <c r="H315" s="1" t="s">
        <v>823</v>
      </c>
    </row>
    <row r="316" spans="1:8">
      <c r="A316" s="1">
        <v>317</v>
      </c>
      <c r="B316" s="1" t="s">
        <v>824</v>
      </c>
      <c r="C316" s="1" t="s">
        <v>822</v>
      </c>
      <c r="D316" s="1">
        <v>624.2418</v>
      </c>
      <c r="E316" s="1">
        <f t="shared" si="12"/>
        <v>625.24908</v>
      </c>
      <c r="F316" s="1">
        <f t="shared" si="13"/>
        <v>642.27563</v>
      </c>
      <c r="G316" s="1">
        <f t="shared" si="14"/>
        <v>647.23102</v>
      </c>
      <c r="H316" s="1" t="s">
        <v>825</v>
      </c>
    </row>
    <row r="317" spans="1:11">
      <c r="A317" s="3">
        <v>318</v>
      </c>
      <c r="B317" s="3" t="s">
        <v>826</v>
      </c>
      <c r="C317" s="3" t="s">
        <v>827</v>
      </c>
      <c r="D317" s="3">
        <v>686.2575</v>
      </c>
      <c r="E317" s="3">
        <f t="shared" si="12"/>
        <v>687.26478</v>
      </c>
      <c r="F317" s="3">
        <f t="shared" si="13"/>
        <v>704.29133</v>
      </c>
      <c r="G317" s="3">
        <f t="shared" si="14"/>
        <v>709.24672</v>
      </c>
      <c r="H317" s="3" t="s">
        <v>828</v>
      </c>
      <c r="I317" s="3"/>
      <c r="J317" s="3"/>
      <c r="K317" s="8"/>
    </row>
    <row r="318" spans="1:8">
      <c r="A318" s="1">
        <v>319</v>
      </c>
      <c r="B318" s="1" t="s">
        <v>829</v>
      </c>
      <c r="C318" s="1" t="s">
        <v>830</v>
      </c>
      <c r="D318" s="1">
        <v>606.2676</v>
      </c>
      <c r="E318" s="1">
        <f t="shared" si="12"/>
        <v>607.27488</v>
      </c>
      <c r="F318" s="1">
        <f t="shared" si="13"/>
        <v>624.30143</v>
      </c>
      <c r="G318" s="1">
        <f t="shared" si="14"/>
        <v>629.25682</v>
      </c>
      <c r="H318" s="1" t="s">
        <v>831</v>
      </c>
    </row>
    <row r="319" spans="1:11">
      <c r="A319" s="3">
        <v>320</v>
      </c>
      <c r="B319" s="3" t="s">
        <v>832</v>
      </c>
      <c r="C319" s="3" t="s">
        <v>833</v>
      </c>
      <c r="D319" s="3">
        <v>728.268</v>
      </c>
      <c r="E319" s="3">
        <f t="shared" si="12"/>
        <v>729.27528</v>
      </c>
      <c r="F319" s="3">
        <f t="shared" si="13"/>
        <v>746.30183</v>
      </c>
      <c r="G319" s="3">
        <f t="shared" si="14"/>
        <v>751.25722</v>
      </c>
      <c r="H319" s="3" t="s">
        <v>834</v>
      </c>
      <c r="I319" s="3"/>
      <c r="J319" s="3"/>
      <c r="K319" s="8"/>
    </row>
    <row r="320" spans="1:8">
      <c r="A320" s="1">
        <v>321</v>
      </c>
      <c r="B320" s="1" t="s">
        <v>835</v>
      </c>
      <c r="C320" s="1" t="s">
        <v>836</v>
      </c>
      <c r="D320" s="1">
        <v>741.336</v>
      </c>
      <c r="E320" s="1">
        <f t="shared" si="12"/>
        <v>742.34328</v>
      </c>
      <c r="F320" s="1">
        <f t="shared" si="13"/>
        <v>759.36983</v>
      </c>
      <c r="G320" s="1">
        <f t="shared" si="14"/>
        <v>764.32522</v>
      </c>
      <c r="H320" s="1" t="s">
        <v>837</v>
      </c>
    </row>
    <row r="321" spans="1:8">
      <c r="A321" s="1">
        <v>322</v>
      </c>
      <c r="B321" s="1" t="s">
        <v>838</v>
      </c>
      <c r="C321" s="1" t="s">
        <v>839</v>
      </c>
      <c r="D321" s="1">
        <v>861.3572</v>
      </c>
      <c r="E321" s="1">
        <f t="shared" si="12"/>
        <v>862.36448</v>
      </c>
      <c r="F321" s="1">
        <f t="shared" si="13"/>
        <v>879.39103</v>
      </c>
      <c r="G321" s="1">
        <f t="shared" si="14"/>
        <v>884.34642</v>
      </c>
      <c r="H321" s="1" t="s">
        <v>840</v>
      </c>
    </row>
    <row r="322" spans="1:11">
      <c r="A322" s="3">
        <v>323</v>
      </c>
      <c r="B322" s="3" t="s">
        <v>841</v>
      </c>
      <c r="C322" s="3" t="s">
        <v>842</v>
      </c>
      <c r="D322" s="3">
        <v>696.2782</v>
      </c>
      <c r="E322" s="3">
        <f t="shared" si="12"/>
        <v>697.28548</v>
      </c>
      <c r="F322" s="3">
        <f t="shared" si="13"/>
        <v>714.31203</v>
      </c>
      <c r="G322" s="3">
        <f t="shared" si="14"/>
        <v>719.26742</v>
      </c>
      <c r="H322" s="3" t="s">
        <v>843</v>
      </c>
      <c r="I322" s="3"/>
      <c r="J322" s="3"/>
      <c r="K322" s="8"/>
    </row>
    <row r="323" spans="1:8">
      <c r="A323" s="1">
        <v>324</v>
      </c>
      <c r="B323" s="1" t="s">
        <v>844</v>
      </c>
      <c r="C323" s="1" t="s">
        <v>845</v>
      </c>
      <c r="D323" s="1">
        <v>712.2731</v>
      </c>
      <c r="E323" s="1">
        <f t="shared" ref="E323:E386" si="15">D323+1.00728</f>
        <v>713.28038</v>
      </c>
      <c r="F323" s="1">
        <f t="shared" ref="F323:F386" si="16">D323+18.03383</f>
        <v>730.30693</v>
      </c>
      <c r="G323" s="1">
        <f t="shared" ref="G323:G386" si="17">D323+22.98922</f>
        <v>735.26232</v>
      </c>
      <c r="H323" s="1" t="s">
        <v>846</v>
      </c>
    </row>
    <row r="324" spans="1:8">
      <c r="A324" s="1">
        <v>325</v>
      </c>
      <c r="B324" s="1" t="s">
        <v>847</v>
      </c>
      <c r="C324" s="1" t="s">
        <v>845</v>
      </c>
      <c r="D324" s="1">
        <v>712.2731</v>
      </c>
      <c r="E324" s="1">
        <f t="shared" si="15"/>
        <v>713.28038</v>
      </c>
      <c r="F324" s="1">
        <f t="shared" si="16"/>
        <v>730.30693</v>
      </c>
      <c r="G324" s="1">
        <f t="shared" si="17"/>
        <v>735.26232</v>
      </c>
      <c r="H324" s="1" t="s">
        <v>848</v>
      </c>
    </row>
    <row r="325" spans="1:8">
      <c r="A325" s="1">
        <v>326</v>
      </c>
      <c r="B325" s="1" t="s">
        <v>849</v>
      </c>
      <c r="C325" s="1" t="s">
        <v>850</v>
      </c>
      <c r="D325" s="1">
        <v>754.2837</v>
      </c>
      <c r="E325" s="1">
        <f t="shared" si="15"/>
        <v>755.29098</v>
      </c>
      <c r="F325" s="1">
        <f t="shared" si="16"/>
        <v>772.31753</v>
      </c>
      <c r="G325" s="1">
        <f t="shared" si="17"/>
        <v>777.27292</v>
      </c>
      <c r="H325" s="1" t="s">
        <v>851</v>
      </c>
    </row>
    <row r="326" spans="1:8">
      <c r="A326" s="1">
        <v>327</v>
      </c>
      <c r="B326" s="1" t="s">
        <v>852</v>
      </c>
      <c r="C326" s="1" t="s">
        <v>853</v>
      </c>
      <c r="D326" s="1">
        <v>816.2993</v>
      </c>
      <c r="E326" s="1">
        <f t="shared" si="15"/>
        <v>817.30658</v>
      </c>
      <c r="F326" s="1">
        <f t="shared" si="16"/>
        <v>834.33313</v>
      </c>
      <c r="G326" s="1">
        <f t="shared" si="17"/>
        <v>839.28852</v>
      </c>
      <c r="H326" s="1" t="s">
        <v>854</v>
      </c>
    </row>
    <row r="327" spans="1:11">
      <c r="A327" s="3">
        <v>328</v>
      </c>
      <c r="B327" s="3" t="s">
        <v>855</v>
      </c>
      <c r="C327" s="3" t="s">
        <v>856</v>
      </c>
      <c r="D327" s="3">
        <v>716.268</v>
      </c>
      <c r="E327" s="3">
        <f t="shared" si="15"/>
        <v>717.27528</v>
      </c>
      <c r="F327" s="3">
        <f t="shared" si="16"/>
        <v>734.30183</v>
      </c>
      <c r="G327" s="3">
        <f t="shared" si="17"/>
        <v>739.25722</v>
      </c>
      <c r="H327" s="3" t="s">
        <v>857</v>
      </c>
      <c r="I327" s="3"/>
      <c r="J327" s="3"/>
      <c r="K327" s="8"/>
    </row>
    <row r="328" spans="1:8">
      <c r="A328" s="1">
        <v>329</v>
      </c>
      <c r="B328" s="1" t="s">
        <v>858</v>
      </c>
      <c r="C328" s="1" t="s">
        <v>859</v>
      </c>
      <c r="D328" s="1">
        <v>456.1995</v>
      </c>
      <c r="E328" s="1">
        <f t="shared" si="15"/>
        <v>457.20678</v>
      </c>
      <c r="F328" s="1">
        <f t="shared" si="16"/>
        <v>474.23333</v>
      </c>
      <c r="G328" s="1">
        <f t="shared" si="17"/>
        <v>479.18872</v>
      </c>
      <c r="H328" s="1" t="s">
        <v>860</v>
      </c>
    </row>
    <row r="329" spans="1:8">
      <c r="A329" s="1">
        <v>330</v>
      </c>
      <c r="B329" s="1" t="s">
        <v>861</v>
      </c>
      <c r="C329" s="1" t="s">
        <v>862</v>
      </c>
      <c r="D329" s="1">
        <v>498.2101</v>
      </c>
      <c r="E329" s="1">
        <f t="shared" si="15"/>
        <v>499.21738</v>
      </c>
      <c r="F329" s="1">
        <f t="shared" si="16"/>
        <v>516.24393</v>
      </c>
      <c r="G329" s="1">
        <f t="shared" si="17"/>
        <v>521.19932</v>
      </c>
      <c r="H329" s="1" t="s">
        <v>863</v>
      </c>
    </row>
    <row r="330" spans="1:8">
      <c r="A330" s="1">
        <v>331</v>
      </c>
      <c r="B330" s="1" t="s">
        <v>864</v>
      </c>
      <c r="C330" s="1" t="s">
        <v>339</v>
      </c>
      <c r="D330" s="1">
        <v>667.3356</v>
      </c>
      <c r="E330" s="1">
        <f t="shared" si="15"/>
        <v>668.34288</v>
      </c>
      <c r="F330" s="1">
        <f t="shared" si="16"/>
        <v>685.36943</v>
      </c>
      <c r="G330" s="1">
        <f t="shared" si="17"/>
        <v>690.32482</v>
      </c>
      <c r="H330" s="1" t="s">
        <v>865</v>
      </c>
    </row>
    <row r="331" spans="1:8">
      <c r="A331" s="1">
        <v>332</v>
      </c>
      <c r="B331" s="1" t="s">
        <v>866</v>
      </c>
      <c r="C331" s="1" t="s">
        <v>126</v>
      </c>
      <c r="D331" s="1">
        <v>492.2359</v>
      </c>
      <c r="E331" s="1">
        <f t="shared" si="15"/>
        <v>493.24318</v>
      </c>
      <c r="F331" s="1">
        <f t="shared" si="16"/>
        <v>510.26973</v>
      </c>
      <c r="G331" s="1">
        <f t="shared" si="17"/>
        <v>515.22512</v>
      </c>
      <c r="H331" s="1" t="s">
        <v>867</v>
      </c>
    </row>
    <row r="332" spans="1:8">
      <c r="A332" s="1">
        <v>333</v>
      </c>
      <c r="B332" s="1" t="s">
        <v>868</v>
      </c>
      <c r="C332" s="1" t="s">
        <v>233</v>
      </c>
      <c r="D332" s="1">
        <v>622.2778</v>
      </c>
      <c r="E332" s="1">
        <f t="shared" si="15"/>
        <v>623.28508</v>
      </c>
      <c r="F332" s="1">
        <f t="shared" si="16"/>
        <v>640.31163</v>
      </c>
      <c r="G332" s="1">
        <f t="shared" si="17"/>
        <v>645.26702</v>
      </c>
      <c r="H332" s="1" t="s">
        <v>869</v>
      </c>
    </row>
    <row r="333" spans="1:8">
      <c r="A333" s="1">
        <v>334</v>
      </c>
      <c r="B333" s="1" t="s">
        <v>870</v>
      </c>
      <c r="C333" s="1" t="s">
        <v>86</v>
      </c>
      <c r="D333" s="1">
        <v>552.2571</v>
      </c>
      <c r="E333" s="1">
        <f t="shared" si="15"/>
        <v>553.26438</v>
      </c>
      <c r="F333" s="1">
        <f t="shared" si="16"/>
        <v>570.29093</v>
      </c>
      <c r="G333" s="1">
        <f t="shared" si="17"/>
        <v>575.24632</v>
      </c>
      <c r="H333" s="1" t="s">
        <v>871</v>
      </c>
    </row>
    <row r="334" spans="1:8">
      <c r="A334" s="1">
        <v>335</v>
      </c>
      <c r="B334" s="1" t="s">
        <v>872</v>
      </c>
      <c r="C334" s="1" t="s">
        <v>31</v>
      </c>
      <c r="D334" s="1">
        <v>594.2676</v>
      </c>
      <c r="E334" s="1">
        <f t="shared" si="15"/>
        <v>595.27488</v>
      </c>
      <c r="F334" s="1">
        <f t="shared" si="16"/>
        <v>612.30143</v>
      </c>
      <c r="G334" s="1">
        <f t="shared" si="17"/>
        <v>617.25682</v>
      </c>
      <c r="H334" s="1" t="s">
        <v>873</v>
      </c>
    </row>
    <row r="335" spans="1:8">
      <c r="A335" s="1">
        <v>336</v>
      </c>
      <c r="B335" s="1" t="s">
        <v>874</v>
      </c>
      <c r="C335" s="1" t="s">
        <v>875</v>
      </c>
      <c r="D335" s="1">
        <v>682.2989</v>
      </c>
      <c r="E335" s="1">
        <f t="shared" si="15"/>
        <v>683.30618</v>
      </c>
      <c r="F335" s="1">
        <f t="shared" si="16"/>
        <v>700.33273</v>
      </c>
      <c r="G335" s="1">
        <f t="shared" si="17"/>
        <v>705.28812</v>
      </c>
      <c r="H335" s="1" t="s">
        <v>876</v>
      </c>
    </row>
    <row r="336" spans="1:8">
      <c r="A336" s="1">
        <v>337</v>
      </c>
      <c r="B336" s="1" t="s">
        <v>877</v>
      </c>
      <c r="C336" s="1" t="s">
        <v>875</v>
      </c>
      <c r="D336" s="1">
        <v>682.2989</v>
      </c>
      <c r="E336" s="1">
        <f t="shared" si="15"/>
        <v>683.30618</v>
      </c>
      <c r="F336" s="1">
        <f t="shared" si="16"/>
        <v>700.33273</v>
      </c>
      <c r="G336" s="1">
        <f t="shared" si="17"/>
        <v>705.28812</v>
      </c>
      <c r="H336" s="1" t="s">
        <v>878</v>
      </c>
    </row>
    <row r="337" spans="1:8">
      <c r="A337" s="1">
        <v>338</v>
      </c>
      <c r="B337" s="1" t="s">
        <v>879</v>
      </c>
      <c r="C337" s="1" t="s">
        <v>202</v>
      </c>
      <c r="D337" s="1">
        <v>724.3095</v>
      </c>
      <c r="E337" s="1">
        <f t="shared" si="15"/>
        <v>725.31678</v>
      </c>
      <c r="F337" s="1">
        <f t="shared" si="16"/>
        <v>742.34333</v>
      </c>
      <c r="G337" s="1">
        <f t="shared" si="17"/>
        <v>747.29872</v>
      </c>
      <c r="H337" s="1" t="s">
        <v>880</v>
      </c>
    </row>
    <row r="338" spans="1:8">
      <c r="A338" s="1">
        <v>339</v>
      </c>
      <c r="B338" s="1" t="s">
        <v>881</v>
      </c>
      <c r="C338" s="1" t="s">
        <v>300</v>
      </c>
      <c r="D338" s="1">
        <v>769.3673</v>
      </c>
      <c r="E338" s="1">
        <f t="shared" si="15"/>
        <v>770.37458</v>
      </c>
      <c r="F338" s="1">
        <f t="shared" si="16"/>
        <v>787.40113</v>
      </c>
      <c r="G338" s="1">
        <f t="shared" si="17"/>
        <v>792.35652</v>
      </c>
      <c r="H338" s="1" t="s">
        <v>882</v>
      </c>
    </row>
    <row r="339" spans="1:11">
      <c r="A339" s="1">
        <v>340</v>
      </c>
      <c r="B339" s="1" t="s">
        <v>883</v>
      </c>
      <c r="C339" s="1" t="s">
        <v>884</v>
      </c>
      <c r="D339" s="4">
        <v>683.3306</v>
      </c>
      <c r="E339" s="4">
        <f t="shared" si="15"/>
        <v>684.33788</v>
      </c>
      <c r="F339" s="4">
        <f t="shared" si="16"/>
        <v>701.36443</v>
      </c>
      <c r="G339" s="1">
        <f t="shared" si="17"/>
        <v>706.31982</v>
      </c>
      <c r="H339" s="1" t="s">
        <v>885</v>
      </c>
      <c r="K339" s="1"/>
    </row>
    <row r="340" spans="1:8">
      <c r="A340" s="1">
        <v>341</v>
      </c>
      <c r="B340" s="1" t="s">
        <v>886</v>
      </c>
      <c r="C340" s="1" t="s">
        <v>311</v>
      </c>
      <c r="D340" s="1">
        <v>785.3623</v>
      </c>
      <c r="E340" s="1">
        <f t="shared" si="15"/>
        <v>786.36958</v>
      </c>
      <c r="F340" s="1">
        <f t="shared" si="16"/>
        <v>803.39613</v>
      </c>
      <c r="G340" s="1">
        <f t="shared" si="17"/>
        <v>808.35152</v>
      </c>
      <c r="H340" s="1" t="s">
        <v>887</v>
      </c>
    </row>
    <row r="341" spans="1:8">
      <c r="A341" s="1">
        <v>342</v>
      </c>
      <c r="B341" s="1" t="s">
        <v>888</v>
      </c>
      <c r="C341" s="1" t="s">
        <v>889</v>
      </c>
      <c r="D341" s="1">
        <v>376.225</v>
      </c>
      <c r="E341" s="1">
        <f t="shared" si="15"/>
        <v>377.23228</v>
      </c>
      <c r="F341" s="1">
        <f t="shared" si="16"/>
        <v>394.25883</v>
      </c>
      <c r="G341" s="1">
        <f t="shared" si="17"/>
        <v>399.21422</v>
      </c>
      <c r="H341" s="1" t="s">
        <v>890</v>
      </c>
    </row>
    <row r="342" spans="1:8">
      <c r="A342" s="1">
        <v>343</v>
      </c>
      <c r="B342" s="1" t="s">
        <v>891</v>
      </c>
      <c r="C342" s="1" t="s">
        <v>105</v>
      </c>
      <c r="D342" s="1">
        <v>434.2305</v>
      </c>
      <c r="E342" s="1">
        <f t="shared" si="15"/>
        <v>435.23778</v>
      </c>
      <c r="F342" s="1">
        <f t="shared" si="16"/>
        <v>452.26433</v>
      </c>
      <c r="G342" s="1">
        <f t="shared" si="17"/>
        <v>457.21972</v>
      </c>
      <c r="H342" s="1" t="s">
        <v>892</v>
      </c>
    </row>
    <row r="343" spans="1:8">
      <c r="A343" s="1">
        <v>344</v>
      </c>
      <c r="B343" s="1" t="s">
        <v>893</v>
      </c>
      <c r="C343" s="1" t="s">
        <v>43</v>
      </c>
      <c r="D343" s="1">
        <v>478.2567</v>
      </c>
      <c r="E343" s="1">
        <f t="shared" si="15"/>
        <v>479.26398</v>
      </c>
      <c r="F343" s="1">
        <f t="shared" si="16"/>
        <v>496.29053</v>
      </c>
      <c r="G343" s="1">
        <f t="shared" si="17"/>
        <v>501.24592</v>
      </c>
      <c r="H343" s="1" t="s">
        <v>894</v>
      </c>
    </row>
    <row r="344" spans="1:8">
      <c r="A344" s="1">
        <v>345</v>
      </c>
      <c r="B344" s="1" t="s">
        <v>895</v>
      </c>
      <c r="C344" s="1" t="s">
        <v>170</v>
      </c>
      <c r="D344" s="1">
        <v>608.2985</v>
      </c>
      <c r="E344" s="1">
        <f t="shared" si="15"/>
        <v>609.30578</v>
      </c>
      <c r="F344" s="1">
        <f t="shared" si="16"/>
        <v>626.33233</v>
      </c>
      <c r="G344" s="1">
        <f t="shared" si="17"/>
        <v>631.28772</v>
      </c>
      <c r="H344" s="1" t="s">
        <v>896</v>
      </c>
    </row>
    <row r="345" spans="1:8">
      <c r="A345" s="1">
        <v>346</v>
      </c>
      <c r="B345" s="1" t="s">
        <v>897</v>
      </c>
      <c r="C345" s="1" t="s">
        <v>94</v>
      </c>
      <c r="D345" s="1">
        <v>650.3091</v>
      </c>
      <c r="E345" s="1">
        <f t="shared" si="15"/>
        <v>651.31638</v>
      </c>
      <c r="F345" s="1">
        <f t="shared" si="16"/>
        <v>668.34293</v>
      </c>
      <c r="G345" s="1">
        <f t="shared" si="17"/>
        <v>673.29832</v>
      </c>
      <c r="H345" s="1" t="s">
        <v>898</v>
      </c>
    </row>
    <row r="346" spans="1:8">
      <c r="A346" s="1">
        <v>347</v>
      </c>
      <c r="B346" s="1" t="s">
        <v>899</v>
      </c>
      <c r="C346" s="1" t="s">
        <v>123</v>
      </c>
      <c r="D346" s="1">
        <v>450.2254</v>
      </c>
      <c r="E346" s="1">
        <f t="shared" si="15"/>
        <v>451.23268</v>
      </c>
      <c r="F346" s="1">
        <f t="shared" si="16"/>
        <v>468.25923</v>
      </c>
      <c r="G346" s="1">
        <f t="shared" si="17"/>
        <v>473.21462</v>
      </c>
      <c r="H346" s="1" t="s">
        <v>900</v>
      </c>
    </row>
    <row r="347" spans="1:8">
      <c r="A347" s="1">
        <v>348</v>
      </c>
      <c r="B347" s="1" t="s">
        <v>901</v>
      </c>
      <c r="C347" s="1" t="s">
        <v>123</v>
      </c>
      <c r="D347" s="1">
        <v>450.2254</v>
      </c>
      <c r="E347" s="1">
        <f t="shared" si="15"/>
        <v>451.23268</v>
      </c>
      <c r="F347" s="1">
        <f t="shared" si="16"/>
        <v>468.25923</v>
      </c>
      <c r="G347" s="1">
        <f t="shared" si="17"/>
        <v>473.21462</v>
      </c>
      <c r="H347" s="1" t="s">
        <v>902</v>
      </c>
    </row>
    <row r="348" spans="1:8">
      <c r="A348" s="1">
        <v>349</v>
      </c>
      <c r="B348" s="1" t="s">
        <v>903</v>
      </c>
      <c r="C348" s="1" t="s">
        <v>126</v>
      </c>
      <c r="D348" s="1">
        <v>492.2359</v>
      </c>
      <c r="E348" s="1">
        <f t="shared" si="15"/>
        <v>493.24318</v>
      </c>
      <c r="F348" s="1">
        <f t="shared" si="16"/>
        <v>510.26973</v>
      </c>
      <c r="G348" s="1">
        <f t="shared" si="17"/>
        <v>515.22512</v>
      </c>
      <c r="H348" s="1" t="s">
        <v>904</v>
      </c>
    </row>
    <row r="349" spans="1:8">
      <c r="A349" s="1">
        <v>350</v>
      </c>
      <c r="B349" s="1" t="s">
        <v>905</v>
      </c>
      <c r="C349" s="1" t="s">
        <v>233</v>
      </c>
      <c r="D349" s="1">
        <v>622.2778</v>
      </c>
      <c r="E349" s="1">
        <f t="shared" si="15"/>
        <v>623.28508</v>
      </c>
      <c r="F349" s="1">
        <f t="shared" si="16"/>
        <v>640.31163</v>
      </c>
      <c r="G349" s="1">
        <f t="shared" si="17"/>
        <v>645.26702</v>
      </c>
      <c r="H349" s="1" t="s">
        <v>906</v>
      </c>
    </row>
    <row r="350" spans="1:8">
      <c r="A350" s="1">
        <v>351</v>
      </c>
      <c r="B350" s="1" t="s">
        <v>907</v>
      </c>
      <c r="C350" s="1" t="s">
        <v>908</v>
      </c>
      <c r="D350" s="1">
        <v>510.2465</v>
      </c>
      <c r="E350" s="1">
        <f t="shared" si="15"/>
        <v>511.25378</v>
      </c>
      <c r="F350" s="1">
        <f t="shared" si="16"/>
        <v>528.28033</v>
      </c>
      <c r="G350" s="1">
        <f t="shared" si="17"/>
        <v>533.23572</v>
      </c>
      <c r="H350" s="1" t="s">
        <v>909</v>
      </c>
    </row>
    <row r="351" spans="1:8">
      <c r="A351" s="1">
        <v>352</v>
      </c>
      <c r="B351" s="1" t="s">
        <v>910</v>
      </c>
      <c r="C351" s="1" t="s">
        <v>911</v>
      </c>
      <c r="D351" s="1">
        <v>460.2461</v>
      </c>
      <c r="E351" s="1">
        <f t="shared" si="15"/>
        <v>461.25338</v>
      </c>
      <c r="F351" s="1">
        <f t="shared" si="16"/>
        <v>478.27993</v>
      </c>
      <c r="G351" s="1">
        <f t="shared" si="17"/>
        <v>483.23532</v>
      </c>
      <c r="H351" s="1" t="s">
        <v>912</v>
      </c>
    </row>
    <row r="352" spans="1:8">
      <c r="A352" s="1">
        <v>353</v>
      </c>
      <c r="B352" s="1" t="s">
        <v>913</v>
      </c>
      <c r="C352" s="1" t="s">
        <v>914</v>
      </c>
      <c r="D352" s="1">
        <v>526.2414</v>
      </c>
      <c r="E352" s="1">
        <f t="shared" si="15"/>
        <v>527.24868</v>
      </c>
      <c r="F352" s="1">
        <f t="shared" si="16"/>
        <v>544.27523</v>
      </c>
      <c r="G352" s="1">
        <f t="shared" si="17"/>
        <v>549.23062</v>
      </c>
      <c r="H352" s="1" t="s">
        <v>915</v>
      </c>
    </row>
    <row r="353" spans="1:8">
      <c r="A353" s="1">
        <v>354</v>
      </c>
      <c r="B353" s="1" t="s">
        <v>916</v>
      </c>
      <c r="C353" s="1" t="s">
        <v>37</v>
      </c>
      <c r="D353" s="1">
        <v>610.2625</v>
      </c>
      <c r="E353" s="1">
        <f t="shared" si="15"/>
        <v>611.26978</v>
      </c>
      <c r="F353" s="1">
        <f t="shared" si="16"/>
        <v>628.29633</v>
      </c>
      <c r="G353" s="1">
        <f t="shared" si="17"/>
        <v>633.25172</v>
      </c>
      <c r="H353" s="1" t="s">
        <v>917</v>
      </c>
    </row>
    <row r="354" spans="1:8">
      <c r="A354" s="1">
        <v>355</v>
      </c>
      <c r="B354" s="1" t="s">
        <v>918</v>
      </c>
      <c r="C354" s="1" t="s">
        <v>919</v>
      </c>
      <c r="D354" s="1">
        <v>548.2774</v>
      </c>
      <c r="E354" s="1">
        <f t="shared" si="15"/>
        <v>549.28468</v>
      </c>
      <c r="F354" s="1">
        <f t="shared" si="16"/>
        <v>566.31123</v>
      </c>
      <c r="G354" s="1">
        <f t="shared" si="17"/>
        <v>571.26662</v>
      </c>
      <c r="H354" s="1" t="s">
        <v>920</v>
      </c>
    </row>
    <row r="355" spans="1:8">
      <c r="A355" s="1">
        <v>356</v>
      </c>
      <c r="B355" s="1" t="s">
        <v>921</v>
      </c>
      <c r="C355" s="1" t="s">
        <v>922</v>
      </c>
      <c r="D355" s="1">
        <v>590.2363</v>
      </c>
      <c r="E355" s="1">
        <f t="shared" si="15"/>
        <v>591.24358</v>
      </c>
      <c r="F355" s="1">
        <f t="shared" si="16"/>
        <v>608.27013</v>
      </c>
      <c r="G355" s="1">
        <f t="shared" si="17"/>
        <v>613.22552</v>
      </c>
      <c r="H355" s="1" t="s">
        <v>923</v>
      </c>
    </row>
    <row r="356" spans="1:8">
      <c r="A356" s="1">
        <v>357</v>
      </c>
      <c r="B356" s="1" t="s">
        <v>924</v>
      </c>
      <c r="C356" s="1" t="s">
        <v>925</v>
      </c>
      <c r="D356" s="1">
        <v>582.2829</v>
      </c>
      <c r="E356" s="1">
        <f t="shared" si="15"/>
        <v>583.29018</v>
      </c>
      <c r="F356" s="1">
        <f t="shared" si="16"/>
        <v>600.31673</v>
      </c>
      <c r="G356" s="1">
        <f t="shared" si="17"/>
        <v>605.27212</v>
      </c>
      <c r="H356" s="1" t="s">
        <v>926</v>
      </c>
    </row>
    <row r="357" spans="1:8">
      <c r="A357" s="1">
        <v>358</v>
      </c>
      <c r="B357" s="1" t="s">
        <v>927</v>
      </c>
      <c r="C357" s="1" t="s">
        <v>928</v>
      </c>
      <c r="D357" s="1">
        <v>628.252</v>
      </c>
      <c r="E357" s="1">
        <f t="shared" si="15"/>
        <v>629.25928</v>
      </c>
      <c r="F357" s="1">
        <f t="shared" si="16"/>
        <v>646.28583</v>
      </c>
      <c r="G357" s="1">
        <f t="shared" si="17"/>
        <v>651.24122</v>
      </c>
      <c r="H357" s="1" t="s">
        <v>929</v>
      </c>
    </row>
    <row r="358" spans="1:8">
      <c r="A358" s="1">
        <v>359</v>
      </c>
      <c r="B358" s="1" t="s">
        <v>930</v>
      </c>
      <c r="C358" s="1" t="s">
        <v>254</v>
      </c>
      <c r="D358" s="1">
        <v>638.2727</v>
      </c>
      <c r="E358" s="1">
        <f t="shared" si="15"/>
        <v>639.27998</v>
      </c>
      <c r="F358" s="1">
        <f t="shared" si="16"/>
        <v>656.30653</v>
      </c>
      <c r="G358" s="1">
        <f t="shared" si="17"/>
        <v>661.26192</v>
      </c>
      <c r="H358" s="1" t="s">
        <v>931</v>
      </c>
    </row>
    <row r="359" spans="1:8">
      <c r="A359" s="1">
        <v>360</v>
      </c>
      <c r="B359" s="1" t="s">
        <v>138</v>
      </c>
      <c r="C359" s="1" t="s">
        <v>139</v>
      </c>
      <c r="D359" s="1">
        <v>394.2355</v>
      </c>
      <c r="E359" s="1">
        <f t="shared" si="15"/>
        <v>395.24278</v>
      </c>
      <c r="F359" s="1">
        <f t="shared" si="16"/>
        <v>412.26933</v>
      </c>
      <c r="G359" s="1">
        <f t="shared" si="17"/>
        <v>417.22472</v>
      </c>
      <c r="H359" s="1" t="s">
        <v>932</v>
      </c>
    </row>
    <row r="360" spans="1:8">
      <c r="A360" s="1">
        <v>361</v>
      </c>
      <c r="B360" s="1" t="s">
        <v>933</v>
      </c>
      <c r="C360" s="1" t="s">
        <v>40</v>
      </c>
      <c r="D360" s="1">
        <v>436.2461</v>
      </c>
      <c r="E360" s="1">
        <f t="shared" si="15"/>
        <v>437.25338</v>
      </c>
      <c r="F360" s="1">
        <f t="shared" si="16"/>
        <v>454.27993</v>
      </c>
      <c r="G360" s="1">
        <f t="shared" si="17"/>
        <v>459.23532</v>
      </c>
      <c r="H360" s="1" t="s">
        <v>934</v>
      </c>
    </row>
    <row r="361" spans="1:8">
      <c r="A361" s="1">
        <v>362</v>
      </c>
      <c r="B361" s="1" t="s">
        <v>935</v>
      </c>
      <c r="C361" s="1" t="s">
        <v>40</v>
      </c>
      <c r="D361" s="1">
        <v>436.2461</v>
      </c>
      <c r="E361" s="1">
        <f t="shared" si="15"/>
        <v>437.25338</v>
      </c>
      <c r="F361" s="1">
        <f t="shared" si="16"/>
        <v>454.27993</v>
      </c>
      <c r="G361" s="1">
        <f t="shared" si="17"/>
        <v>459.23532</v>
      </c>
      <c r="H361" s="1" t="s">
        <v>936</v>
      </c>
    </row>
    <row r="362" spans="1:8">
      <c r="A362" s="1">
        <v>363</v>
      </c>
      <c r="B362" s="1" t="s">
        <v>937</v>
      </c>
      <c r="C362" s="1" t="s">
        <v>43</v>
      </c>
      <c r="D362" s="1">
        <v>478.2567</v>
      </c>
      <c r="E362" s="1">
        <f t="shared" si="15"/>
        <v>479.26398</v>
      </c>
      <c r="F362" s="1">
        <f t="shared" si="16"/>
        <v>496.29053</v>
      </c>
      <c r="G362" s="1">
        <f t="shared" si="17"/>
        <v>501.24592</v>
      </c>
      <c r="H362" s="1" t="s">
        <v>938</v>
      </c>
    </row>
    <row r="363" spans="1:8">
      <c r="A363" s="1">
        <v>364</v>
      </c>
      <c r="B363" s="1" t="s">
        <v>939</v>
      </c>
      <c r="C363" s="1" t="s">
        <v>105</v>
      </c>
      <c r="D363" s="1">
        <v>434.2305</v>
      </c>
      <c r="E363" s="1">
        <f t="shared" si="15"/>
        <v>435.23778</v>
      </c>
      <c r="F363" s="1">
        <f t="shared" si="16"/>
        <v>452.26433</v>
      </c>
      <c r="G363" s="1">
        <f t="shared" si="17"/>
        <v>457.21972</v>
      </c>
      <c r="H363" s="1" t="s">
        <v>940</v>
      </c>
    </row>
    <row r="364" spans="1:8">
      <c r="A364" s="1">
        <v>365</v>
      </c>
      <c r="B364" s="1" t="s">
        <v>941</v>
      </c>
      <c r="C364" s="1" t="s">
        <v>64</v>
      </c>
      <c r="D364" s="1">
        <v>494.2516</v>
      </c>
      <c r="E364" s="1">
        <f t="shared" si="15"/>
        <v>495.25888</v>
      </c>
      <c r="F364" s="1">
        <f t="shared" si="16"/>
        <v>512.28543</v>
      </c>
      <c r="G364" s="1">
        <f t="shared" si="17"/>
        <v>517.24082</v>
      </c>
      <c r="H364" s="1" t="s">
        <v>942</v>
      </c>
    </row>
    <row r="365" spans="1:8">
      <c r="A365" s="1">
        <v>366</v>
      </c>
      <c r="B365" s="1" t="s">
        <v>943</v>
      </c>
      <c r="C365" s="1" t="s">
        <v>64</v>
      </c>
      <c r="D365" s="1">
        <v>494.2516</v>
      </c>
      <c r="E365" s="1">
        <f t="shared" si="15"/>
        <v>495.25888</v>
      </c>
      <c r="F365" s="1">
        <f t="shared" si="16"/>
        <v>512.28543</v>
      </c>
      <c r="G365" s="1">
        <f t="shared" si="17"/>
        <v>517.24082</v>
      </c>
      <c r="H365" s="1" t="s">
        <v>944</v>
      </c>
    </row>
    <row r="366" spans="1:8">
      <c r="A366" s="1">
        <v>367</v>
      </c>
      <c r="B366" s="1" t="s">
        <v>945</v>
      </c>
      <c r="C366" s="1" t="s">
        <v>61</v>
      </c>
      <c r="D366" s="1">
        <v>536.2621</v>
      </c>
      <c r="E366" s="1">
        <f t="shared" si="15"/>
        <v>537.26938</v>
      </c>
      <c r="F366" s="1">
        <f t="shared" si="16"/>
        <v>554.29593</v>
      </c>
      <c r="G366" s="1">
        <f t="shared" si="17"/>
        <v>559.25132</v>
      </c>
      <c r="H366" s="1" t="s">
        <v>946</v>
      </c>
    </row>
    <row r="367" spans="1:8">
      <c r="A367" s="1">
        <v>369</v>
      </c>
      <c r="B367" s="1" t="s">
        <v>947</v>
      </c>
      <c r="C367" s="1" t="s">
        <v>89</v>
      </c>
      <c r="D367" s="1">
        <v>598.2778</v>
      </c>
      <c r="E367" s="1">
        <f t="shared" si="15"/>
        <v>599.28508</v>
      </c>
      <c r="F367" s="1">
        <f t="shared" si="16"/>
        <v>616.31163</v>
      </c>
      <c r="G367" s="1">
        <f t="shared" si="17"/>
        <v>621.26702</v>
      </c>
      <c r="H367" s="1" t="s">
        <v>948</v>
      </c>
    </row>
    <row r="368" spans="1:8">
      <c r="A368" s="1">
        <v>370</v>
      </c>
      <c r="B368" s="1" t="s">
        <v>949</v>
      </c>
      <c r="C368" s="1" t="s">
        <v>950</v>
      </c>
      <c r="D368" s="1">
        <v>514.2567</v>
      </c>
      <c r="E368" s="1">
        <f t="shared" si="15"/>
        <v>515.26398</v>
      </c>
      <c r="F368" s="1">
        <f t="shared" si="16"/>
        <v>532.29053</v>
      </c>
      <c r="G368" s="1">
        <f t="shared" si="17"/>
        <v>537.24592</v>
      </c>
      <c r="H368" s="1" t="s">
        <v>951</v>
      </c>
    </row>
    <row r="369" spans="1:8">
      <c r="A369" s="1">
        <v>371</v>
      </c>
      <c r="B369" s="1" t="s">
        <v>952</v>
      </c>
      <c r="C369" s="1" t="s">
        <v>89</v>
      </c>
      <c r="D369" s="1">
        <v>598.2778</v>
      </c>
      <c r="E369" s="1">
        <f t="shared" si="15"/>
        <v>599.28508</v>
      </c>
      <c r="F369" s="1">
        <f t="shared" si="16"/>
        <v>616.31163</v>
      </c>
      <c r="G369" s="1">
        <f t="shared" si="17"/>
        <v>621.26702</v>
      </c>
      <c r="H369" s="1" t="s">
        <v>953</v>
      </c>
    </row>
    <row r="370" spans="1:8">
      <c r="A370" s="1">
        <v>372</v>
      </c>
      <c r="B370" s="1" t="s">
        <v>954</v>
      </c>
      <c r="C370" s="1" t="s">
        <v>50</v>
      </c>
      <c r="D370" s="1">
        <v>520.2672</v>
      </c>
      <c r="E370" s="1">
        <f t="shared" si="15"/>
        <v>521.27448</v>
      </c>
      <c r="F370" s="1">
        <f t="shared" si="16"/>
        <v>538.30103</v>
      </c>
      <c r="G370" s="1">
        <f t="shared" si="17"/>
        <v>543.25642</v>
      </c>
      <c r="H370" s="1" t="s">
        <v>955</v>
      </c>
    </row>
    <row r="371" spans="1:8">
      <c r="A371" s="1">
        <v>373</v>
      </c>
      <c r="B371" s="1" t="s">
        <v>956</v>
      </c>
      <c r="C371" s="1" t="s">
        <v>957</v>
      </c>
      <c r="D371" s="1">
        <v>578.2727</v>
      </c>
      <c r="E371" s="1">
        <f t="shared" si="15"/>
        <v>579.27998</v>
      </c>
      <c r="F371" s="1">
        <f t="shared" si="16"/>
        <v>596.30653</v>
      </c>
      <c r="G371" s="1">
        <f t="shared" si="17"/>
        <v>601.26192</v>
      </c>
      <c r="H371" s="1" t="s">
        <v>958</v>
      </c>
    </row>
    <row r="372" spans="1:8">
      <c r="A372" s="1">
        <v>374</v>
      </c>
      <c r="B372" s="1" t="s">
        <v>959</v>
      </c>
      <c r="C372" s="1" t="s">
        <v>960</v>
      </c>
      <c r="D372" s="1">
        <v>524.2774</v>
      </c>
      <c r="E372" s="1">
        <f t="shared" si="15"/>
        <v>525.28468</v>
      </c>
      <c r="F372" s="1">
        <f t="shared" si="16"/>
        <v>542.31123</v>
      </c>
      <c r="G372" s="1">
        <f t="shared" si="17"/>
        <v>547.26662</v>
      </c>
      <c r="H372" s="1" t="s">
        <v>961</v>
      </c>
    </row>
    <row r="373" spans="1:8">
      <c r="A373" s="1">
        <v>375</v>
      </c>
      <c r="B373" s="1" t="s">
        <v>962</v>
      </c>
      <c r="C373" s="1" t="s">
        <v>167</v>
      </c>
      <c r="D373" s="1">
        <v>566.288</v>
      </c>
      <c r="E373" s="1">
        <f t="shared" si="15"/>
        <v>567.29528</v>
      </c>
      <c r="F373" s="1">
        <f t="shared" si="16"/>
        <v>584.32183</v>
      </c>
      <c r="G373" s="1">
        <f t="shared" si="17"/>
        <v>589.27722</v>
      </c>
      <c r="H373" s="1" t="s">
        <v>963</v>
      </c>
    </row>
    <row r="374" spans="1:8">
      <c r="A374" s="1">
        <v>377</v>
      </c>
      <c r="B374" s="1" t="s">
        <v>964</v>
      </c>
      <c r="C374" s="1" t="s">
        <v>170</v>
      </c>
      <c r="D374" s="1">
        <v>608.2985</v>
      </c>
      <c r="E374" s="1">
        <f t="shared" si="15"/>
        <v>609.30578</v>
      </c>
      <c r="F374" s="1">
        <f t="shared" si="16"/>
        <v>626.33233</v>
      </c>
      <c r="G374" s="1">
        <f t="shared" si="17"/>
        <v>631.28772</v>
      </c>
      <c r="H374" s="1" t="s">
        <v>965</v>
      </c>
    </row>
    <row r="375" spans="1:8">
      <c r="A375" s="1">
        <v>378</v>
      </c>
      <c r="B375" s="1" t="s">
        <v>966</v>
      </c>
      <c r="C375" s="1" t="s">
        <v>967</v>
      </c>
      <c r="D375" s="1">
        <v>670.3142</v>
      </c>
      <c r="E375" s="1">
        <f t="shared" si="15"/>
        <v>671.32148</v>
      </c>
      <c r="F375" s="1">
        <f t="shared" si="16"/>
        <v>688.34803</v>
      </c>
      <c r="G375" s="1">
        <f t="shared" si="17"/>
        <v>693.30342</v>
      </c>
      <c r="H375" s="1" t="s">
        <v>968</v>
      </c>
    </row>
    <row r="376" spans="1:8">
      <c r="A376" s="1">
        <v>379</v>
      </c>
      <c r="B376" s="1" t="s">
        <v>969</v>
      </c>
      <c r="C376" s="1" t="s">
        <v>970</v>
      </c>
      <c r="D376" s="1">
        <v>624.2934</v>
      </c>
      <c r="E376" s="1">
        <f t="shared" si="15"/>
        <v>625.30068</v>
      </c>
      <c r="F376" s="1">
        <f t="shared" si="16"/>
        <v>642.32723</v>
      </c>
      <c r="G376" s="1">
        <f t="shared" si="17"/>
        <v>647.28262</v>
      </c>
      <c r="H376" s="1" t="s">
        <v>971</v>
      </c>
    </row>
    <row r="377" spans="1:8">
      <c r="A377" s="1">
        <v>380</v>
      </c>
      <c r="B377" s="1" t="s">
        <v>972</v>
      </c>
      <c r="C377" s="1" t="s">
        <v>182</v>
      </c>
      <c r="D377" s="1">
        <v>666.304</v>
      </c>
      <c r="E377" s="1">
        <f t="shared" si="15"/>
        <v>667.31128</v>
      </c>
      <c r="F377" s="1">
        <f t="shared" si="16"/>
        <v>684.33783</v>
      </c>
      <c r="G377" s="1">
        <f t="shared" si="17"/>
        <v>689.29322</v>
      </c>
      <c r="H377" s="1" t="s">
        <v>973</v>
      </c>
    </row>
    <row r="378" spans="1:8">
      <c r="A378" s="1">
        <v>381</v>
      </c>
      <c r="B378" s="1" t="s">
        <v>974</v>
      </c>
      <c r="C378" s="1" t="s">
        <v>260</v>
      </c>
      <c r="D378" s="1">
        <v>686.3091</v>
      </c>
      <c r="E378" s="1">
        <f t="shared" si="15"/>
        <v>687.31638</v>
      </c>
      <c r="F378" s="1">
        <f t="shared" si="16"/>
        <v>704.34293</v>
      </c>
      <c r="G378" s="1">
        <f t="shared" si="17"/>
        <v>709.29832</v>
      </c>
      <c r="H378" s="1" t="s">
        <v>975</v>
      </c>
    </row>
    <row r="379" spans="1:8">
      <c r="A379" s="1">
        <v>382</v>
      </c>
      <c r="B379" s="1" t="s">
        <v>976</v>
      </c>
      <c r="C379" s="1" t="s">
        <v>977</v>
      </c>
      <c r="D379" s="1">
        <v>728.3197</v>
      </c>
      <c r="E379" s="1">
        <f t="shared" si="15"/>
        <v>729.32698</v>
      </c>
      <c r="F379" s="1">
        <f t="shared" si="16"/>
        <v>746.35353</v>
      </c>
      <c r="G379" s="1">
        <f t="shared" si="17"/>
        <v>751.30892</v>
      </c>
      <c r="H379" s="1" t="s">
        <v>978</v>
      </c>
    </row>
    <row r="380" spans="1:8">
      <c r="A380" s="1">
        <v>383</v>
      </c>
      <c r="B380" s="1" t="s">
        <v>979</v>
      </c>
      <c r="C380" s="1" t="s">
        <v>980</v>
      </c>
      <c r="D380" s="1">
        <v>715.372</v>
      </c>
      <c r="E380" s="1">
        <f t="shared" si="15"/>
        <v>716.37928</v>
      </c>
      <c r="F380" s="1">
        <f t="shared" si="16"/>
        <v>733.40583</v>
      </c>
      <c r="G380" s="1">
        <f t="shared" si="17"/>
        <v>738.36122</v>
      </c>
      <c r="H380" s="1" t="s">
        <v>981</v>
      </c>
    </row>
    <row r="381" spans="1:8">
      <c r="A381" s="1">
        <v>384</v>
      </c>
      <c r="B381" s="1" t="s">
        <v>982</v>
      </c>
      <c r="C381" s="1" t="s">
        <v>983</v>
      </c>
      <c r="D381" s="1">
        <v>773.3775</v>
      </c>
      <c r="E381" s="1">
        <f t="shared" si="15"/>
        <v>774.38478</v>
      </c>
      <c r="F381" s="1">
        <f t="shared" si="16"/>
        <v>791.41133</v>
      </c>
      <c r="G381" s="1">
        <f t="shared" si="17"/>
        <v>796.36672</v>
      </c>
      <c r="H381" s="1" t="s">
        <v>984</v>
      </c>
    </row>
    <row r="382" spans="1:8">
      <c r="A382" s="1">
        <v>385</v>
      </c>
      <c r="B382" s="1" t="s">
        <v>985</v>
      </c>
      <c r="C382" s="1" t="s">
        <v>986</v>
      </c>
      <c r="D382" s="1">
        <v>569.3353</v>
      </c>
      <c r="E382" s="1">
        <f t="shared" si="15"/>
        <v>570.34258</v>
      </c>
      <c r="F382" s="1">
        <f t="shared" si="16"/>
        <v>587.36913</v>
      </c>
      <c r="G382" s="1">
        <f t="shared" si="17"/>
        <v>592.32452</v>
      </c>
      <c r="H382" s="1" t="s">
        <v>987</v>
      </c>
    </row>
    <row r="383" spans="1:8">
      <c r="A383" s="1">
        <v>386</v>
      </c>
      <c r="B383" s="1" t="s">
        <v>988</v>
      </c>
      <c r="C383" s="1" t="s">
        <v>989</v>
      </c>
      <c r="D383" s="1">
        <v>759.3619</v>
      </c>
      <c r="E383" s="1">
        <f t="shared" si="15"/>
        <v>760.36918</v>
      </c>
      <c r="F383" s="1">
        <f t="shared" si="16"/>
        <v>777.39573</v>
      </c>
      <c r="G383" s="1">
        <f t="shared" si="17"/>
        <v>782.35112</v>
      </c>
      <c r="H383" s="1" t="s">
        <v>990</v>
      </c>
    </row>
    <row r="384" spans="1:8">
      <c r="A384" s="1">
        <v>387</v>
      </c>
      <c r="B384" s="1" t="s">
        <v>991</v>
      </c>
      <c r="C384" s="1" t="s">
        <v>61</v>
      </c>
      <c r="D384" s="1">
        <v>536.2621</v>
      </c>
      <c r="E384" s="1">
        <f t="shared" si="15"/>
        <v>537.26938</v>
      </c>
      <c r="F384" s="1">
        <f t="shared" si="16"/>
        <v>554.29593</v>
      </c>
      <c r="G384" s="1">
        <f t="shared" si="17"/>
        <v>559.25132</v>
      </c>
      <c r="H384" s="1" t="s">
        <v>992</v>
      </c>
    </row>
    <row r="385" spans="1:8">
      <c r="A385" s="1">
        <v>388</v>
      </c>
      <c r="B385" s="1" t="s">
        <v>993</v>
      </c>
      <c r="C385" s="1" t="s">
        <v>994</v>
      </c>
      <c r="D385" s="1">
        <v>554.2516</v>
      </c>
      <c r="E385" s="1">
        <f t="shared" si="15"/>
        <v>555.25888</v>
      </c>
      <c r="F385" s="1">
        <f t="shared" si="16"/>
        <v>572.28543</v>
      </c>
      <c r="G385" s="1">
        <f t="shared" si="17"/>
        <v>577.24082</v>
      </c>
      <c r="H385" s="1" t="s">
        <v>995</v>
      </c>
    </row>
    <row r="386" spans="1:8">
      <c r="A386" s="1">
        <v>389</v>
      </c>
      <c r="B386" s="1" t="s">
        <v>996</v>
      </c>
      <c r="C386" s="1" t="s">
        <v>123</v>
      </c>
      <c r="D386" s="1">
        <v>450.2254</v>
      </c>
      <c r="E386" s="1">
        <f t="shared" si="15"/>
        <v>451.23268</v>
      </c>
      <c r="F386" s="1">
        <f t="shared" si="16"/>
        <v>468.25923</v>
      </c>
      <c r="G386" s="1">
        <f t="shared" si="17"/>
        <v>473.21462</v>
      </c>
      <c r="H386" s="1" t="s">
        <v>997</v>
      </c>
    </row>
    <row r="387" spans="1:8">
      <c r="A387" s="1">
        <v>390</v>
      </c>
      <c r="B387" s="1" t="s">
        <v>998</v>
      </c>
      <c r="C387" s="1" t="s">
        <v>908</v>
      </c>
      <c r="D387" s="1">
        <v>510.2465</v>
      </c>
      <c r="E387" s="1">
        <f t="shared" ref="E387:E450" si="18">D387+1.00728</f>
        <v>511.25378</v>
      </c>
      <c r="F387" s="1">
        <f t="shared" ref="F387:F450" si="19">D387+18.03383</f>
        <v>528.28033</v>
      </c>
      <c r="G387" s="1">
        <f t="shared" ref="G387:G450" si="20">D387+22.98922</f>
        <v>533.23572</v>
      </c>
      <c r="H387" s="1" t="s">
        <v>999</v>
      </c>
    </row>
    <row r="388" spans="1:8">
      <c r="A388" s="1">
        <v>391</v>
      </c>
      <c r="B388" s="1" t="s">
        <v>1000</v>
      </c>
      <c r="C388" s="1" t="s">
        <v>1001</v>
      </c>
      <c r="D388" s="4">
        <v>508.2308</v>
      </c>
      <c r="E388" s="4">
        <f t="shared" si="18"/>
        <v>509.23808</v>
      </c>
      <c r="F388" s="4">
        <f t="shared" si="19"/>
        <v>526.26463</v>
      </c>
      <c r="G388" s="1">
        <f t="shared" si="20"/>
        <v>531.22002</v>
      </c>
      <c r="H388" s="1" t="s">
        <v>1002</v>
      </c>
    </row>
    <row r="389" spans="1:8">
      <c r="A389" s="1">
        <v>392</v>
      </c>
      <c r="B389" s="1" t="s">
        <v>1003</v>
      </c>
      <c r="C389" s="1" t="s">
        <v>1004</v>
      </c>
      <c r="D389" s="1">
        <v>528.2359</v>
      </c>
      <c r="E389" s="1">
        <f t="shared" si="18"/>
        <v>529.24318</v>
      </c>
      <c r="F389" s="1">
        <f t="shared" si="19"/>
        <v>546.26973</v>
      </c>
      <c r="G389" s="1">
        <f t="shared" si="20"/>
        <v>551.22512</v>
      </c>
      <c r="H389" s="1" t="s">
        <v>1005</v>
      </c>
    </row>
    <row r="390" spans="1:8">
      <c r="A390" s="1">
        <v>393</v>
      </c>
      <c r="B390" s="1" t="s">
        <v>1006</v>
      </c>
      <c r="C390" s="1" t="s">
        <v>908</v>
      </c>
      <c r="D390" s="1">
        <v>510.2465</v>
      </c>
      <c r="E390" s="1">
        <f t="shared" si="18"/>
        <v>511.25378</v>
      </c>
      <c r="F390" s="1">
        <f t="shared" si="19"/>
        <v>528.28033</v>
      </c>
      <c r="G390" s="1">
        <f t="shared" si="20"/>
        <v>533.23572</v>
      </c>
      <c r="H390" s="1" t="s">
        <v>1007</v>
      </c>
    </row>
    <row r="391" spans="1:8">
      <c r="A391" s="1">
        <v>394</v>
      </c>
      <c r="B391" s="1" t="s">
        <v>1008</v>
      </c>
      <c r="C391" s="1" t="s">
        <v>86</v>
      </c>
      <c r="D391" s="1">
        <v>552.2571</v>
      </c>
      <c r="E391" s="1">
        <f t="shared" si="18"/>
        <v>553.26438</v>
      </c>
      <c r="F391" s="1">
        <f t="shared" si="19"/>
        <v>570.29093</v>
      </c>
      <c r="G391" s="1">
        <f t="shared" si="20"/>
        <v>575.24632</v>
      </c>
      <c r="H391" s="1" t="s">
        <v>1009</v>
      </c>
    </row>
    <row r="392" spans="1:8">
      <c r="A392" s="1">
        <v>395</v>
      </c>
      <c r="B392" s="1" t="s">
        <v>1010</v>
      </c>
      <c r="C392" s="1" t="s">
        <v>145</v>
      </c>
      <c r="D392" s="1">
        <v>614.2727</v>
      </c>
      <c r="E392" s="1">
        <f t="shared" si="18"/>
        <v>615.27998</v>
      </c>
      <c r="F392" s="1">
        <f t="shared" si="19"/>
        <v>632.30653</v>
      </c>
      <c r="G392" s="1">
        <f t="shared" si="20"/>
        <v>637.26192</v>
      </c>
      <c r="H392" s="1" t="s">
        <v>1011</v>
      </c>
    </row>
    <row r="393" spans="1:8">
      <c r="A393" s="1">
        <v>396</v>
      </c>
      <c r="B393" s="1" t="s">
        <v>1012</v>
      </c>
      <c r="C393" s="1" t="s">
        <v>614</v>
      </c>
      <c r="D393" s="1">
        <v>656.2833</v>
      </c>
      <c r="E393" s="1">
        <f t="shared" si="18"/>
        <v>657.29058</v>
      </c>
      <c r="F393" s="1">
        <f t="shared" si="19"/>
        <v>674.31713</v>
      </c>
      <c r="G393" s="1">
        <f t="shared" si="20"/>
        <v>679.27252</v>
      </c>
      <c r="H393" s="1" t="s">
        <v>1013</v>
      </c>
    </row>
    <row r="394" spans="1:8">
      <c r="A394" s="1">
        <v>397</v>
      </c>
      <c r="B394" s="1" t="s">
        <v>1014</v>
      </c>
      <c r="C394" s="1" t="s">
        <v>1015</v>
      </c>
      <c r="D394" s="1">
        <v>612.2571</v>
      </c>
      <c r="E394" s="1">
        <f t="shared" si="18"/>
        <v>613.26438</v>
      </c>
      <c r="F394" s="1">
        <f t="shared" si="19"/>
        <v>630.29093</v>
      </c>
      <c r="G394" s="1">
        <f t="shared" si="20"/>
        <v>635.24632</v>
      </c>
      <c r="H394" s="1" t="s">
        <v>1016</v>
      </c>
    </row>
    <row r="395" spans="1:8">
      <c r="A395" s="1">
        <v>398</v>
      </c>
      <c r="B395" s="1" t="s">
        <v>1017</v>
      </c>
      <c r="C395" s="1" t="s">
        <v>1018</v>
      </c>
      <c r="D395" s="1">
        <v>744.3146</v>
      </c>
      <c r="E395" s="1">
        <f t="shared" si="18"/>
        <v>745.32188</v>
      </c>
      <c r="F395" s="1">
        <f t="shared" si="19"/>
        <v>762.34843</v>
      </c>
      <c r="G395" s="1">
        <f t="shared" si="20"/>
        <v>767.30382</v>
      </c>
      <c r="H395" s="1" t="s">
        <v>1019</v>
      </c>
    </row>
    <row r="396" spans="1:11">
      <c r="A396" s="3">
        <v>399</v>
      </c>
      <c r="B396" s="3" t="s">
        <v>1020</v>
      </c>
      <c r="C396" s="3" t="s">
        <v>1021</v>
      </c>
      <c r="D396" s="3">
        <v>572.2622</v>
      </c>
      <c r="E396" s="3">
        <f t="shared" si="18"/>
        <v>573.26948</v>
      </c>
      <c r="F396" s="3">
        <f t="shared" si="19"/>
        <v>590.29603</v>
      </c>
      <c r="G396" s="3">
        <f t="shared" si="20"/>
        <v>595.25142</v>
      </c>
      <c r="H396" s="3" t="s">
        <v>1022</v>
      </c>
      <c r="I396" s="3"/>
      <c r="J396" s="3"/>
      <c r="K396" s="8"/>
    </row>
    <row r="397" spans="1:8">
      <c r="A397" s="1">
        <v>400</v>
      </c>
      <c r="B397" s="1" t="s">
        <v>1023</v>
      </c>
      <c r="C397" s="1" t="s">
        <v>145</v>
      </c>
      <c r="D397" s="1">
        <v>614.2727</v>
      </c>
      <c r="E397" s="1">
        <f t="shared" si="18"/>
        <v>615.27998</v>
      </c>
      <c r="F397" s="1">
        <f t="shared" si="19"/>
        <v>632.30653</v>
      </c>
      <c r="G397" s="1">
        <f t="shared" si="20"/>
        <v>637.26192</v>
      </c>
      <c r="H397" s="1" t="s">
        <v>1024</v>
      </c>
    </row>
    <row r="398" spans="1:8">
      <c r="A398" s="1">
        <v>401</v>
      </c>
      <c r="B398" s="1" t="s">
        <v>1025</v>
      </c>
      <c r="C398" s="1" t="s">
        <v>182</v>
      </c>
      <c r="D398" s="1">
        <v>666.304</v>
      </c>
      <c r="E398" s="1">
        <f t="shared" si="18"/>
        <v>667.31128</v>
      </c>
      <c r="F398" s="1">
        <f t="shared" si="19"/>
        <v>684.33783</v>
      </c>
      <c r="G398" s="1">
        <f t="shared" si="20"/>
        <v>689.29322</v>
      </c>
      <c r="H398" s="1" t="s">
        <v>1026</v>
      </c>
    </row>
    <row r="399" spans="1:8">
      <c r="A399" s="1">
        <v>402</v>
      </c>
      <c r="B399" s="1" t="s">
        <v>1027</v>
      </c>
      <c r="C399" s="1" t="s">
        <v>1028</v>
      </c>
      <c r="D399" s="1">
        <v>702.304</v>
      </c>
      <c r="E399" s="1">
        <f t="shared" si="18"/>
        <v>703.31128</v>
      </c>
      <c r="F399" s="1">
        <f t="shared" si="19"/>
        <v>720.33783</v>
      </c>
      <c r="G399" s="1">
        <f t="shared" si="20"/>
        <v>725.29322</v>
      </c>
      <c r="H399" s="1" t="s">
        <v>1029</v>
      </c>
    </row>
    <row r="400" spans="1:8">
      <c r="A400" s="1">
        <v>403</v>
      </c>
      <c r="B400" s="1" t="s">
        <v>1030</v>
      </c>
      <c r="C400" s="1" t="s">
        <v>308</v>
      </c>
      <c r="D400" s="1">
        <v>711.3619</v>
      </c>
      <c r="E400" s="1">
        <f t="shared" si="18"/>
        <v>712.36918</v>
      </c>
      <c r="F400" s="1">
        <f t="shared" si="19"/>
        <v>729.39573</v>
      </c>
      <c r="G400" s="1">
        <f t="shared" si="20"/>
        <v>734.35112</v>
      </c>
      <c r="H400" s="1" t="s">
        <v>1031</v>
      </c>
    </row>
    <row r="401" spans="1:8">
      <c r="A401" s="1">
        <v>404</v>
      </c>
      <c r="B401" s="1" t="s">
        <v>1032</v>
      </c>
      <c r="C401" s="1" t="s">
        <v>1033</v>
      </c>
      <c r="D401" s="1">
        <v>760.3095</v>
      </c>
      <c r="E401" s="1">
        <f t="shared" si="18"/>
        <v>761.31678</v>
      </c>
      <c r="F401" s="1">
        <f t="shared" si="19"/>
        <v>778.34333</v>
      </c>
      <c r="G401" s="1">
        <f t="shared" si="20"/>
        <v>783.29872</v>
      </c>
      <c r="H401" s="1" t="s">
        <v>1034</v>
      </c>
    </row>
    <row r="402" spans="1:8">
      <c r="A402" s="1">
        <v>405</v>
      </c>
      <c r="B402" s="1" t="s">
        <v>1035</v>
      </c>
      <c r="C402" s="1" t="s">
        <v>538</v>
      </c>
      <c r="D402" s="1">
        <v>588.2571</v>
      </c>
      <c r="E402" s="1">
        <f t="shared" si="18"/>
        <v>589.26438</v>
      </c>
      <c r="F402" s="1">
        <f t="shared" si="19"/>
        <v>606.29093</v>
      </c>
      <c r="G402" s="1">
        <f t="shared" si="20"/>
        <v>611.24632</v>
      </c>
      <c r="H402" s="1" t="s">
        <v>1036</v>
      </c>
    </row>
    <row r="403" spans="1:8">
      <c r="A403" s="1">
        <v>406</v>
      </c>
      <c r="B403" s="1" t="s">
        <v>1037</v>
      </c>
      <c r="C403" s="1" t="s">
        <v>474</v>
      </c>
      <c r="D403" s="1">
        <v>652.2731</v>
      </c>
      <c r="E403" s="1">
        <f t="shared" si="18"/>
        <v>653.28038</v>
      </c>
      <c r="F403" s="1">
        <f t="shared" si="19"/>
        <v>670.30693</v>
      </c>
      <c r="G403" s="1">
        <f t="shared" si="20"/>
        <v>675.26232</v>
      </c>
      <c r="H403" s="1" t="s">
        <v>1038</v>
      </c>
    </row>
    <row r="404" spans="1:8">
      <c r="A404" s="1">
        <v>407</v>
      </c>
      <c r="B404" s="1" t="s">
        <v>1039</v>
      </c>
      <c r="C404" s="1" t="s">
        <v>532</v>
      </c>
      <c r="D404" s="1">
        <v>589.2649</v>
      </c>
      <c r="E404" s="1">
        <f t="shared" si="18"/>
        <v>590.27218</v>
      </c>
      <c r="F404" s="1">
        <f t="shared" si="19"/>
        <v>607.29873</v>
      </c>
      <c r="G404" s="1">
        <f t="shared" si="20"/>
        <v>612.25412</v>
      </c>
      <c r="H404" s="1" t="s">
        <v>1040</v>
      </c>
    </row>
    <row r="405" spans="1:8">
      <c r="A405" s="1">
        <v>408</v>
      </c>
      <c r="B405" s="1" t="s">
        <v>1041</v>
      </c>
      <c r="C405" s="1" t="s">
        <v>1042</v>
      </c>
      <c r="D405" s="1">
        <v>484.2308</v>
      </c>
      <c r="E405" s="1">
        <f t="shared" si="18"/>
        <v>485.23808</v>
      </c>
      <c r="F405" s="1">
        <f t="shared" si="19"/>
        <v>502.26463</v>
      </c>
      <c r="G405" s="1">
        <f t="shared" si="20"/>
        <v>507.22002</v>
      </c>
      <c r="H405" s="1" t="s">
        <v>1043</v>
      </c>
    </row>
    <row r="406" spans="1:8">
      <c r="A406" s="1">
        <v>409</v>
      </c>
      <c r="B406" s="1" t="s">
        <v>1044</v>
      </c>
      <c r="C406" s="1" t="s">
        <v>538</v>
      </c>
      <c r="D406" s="1">
        <v>588.2571</v>
      </c>
      <c r="E406" s="1">
        <f t="shared" si="18"/>
        <v>589.26438</v>
      </c>
      <c r="F406" s="1">
        <f t="shared" si="19"/>
        <v>606.29093</v>
      </c>
      <c r="G406" s="1">
        <f t="shared" si="20"/>
        <v>611.24632</v>
      </c>
      <c r="H406" s="1" t="s">
        <v>1045</v>
      </c>
    </row>
    <row r="407" spans="1:8">
      <c r="A407" s="1">
        <v>410</v>
      </c>
      <c r="B407" s="1" t="s">
        <v>1046</v>
      </c>
      <c r="C407" s="1" t="s">
        <v>538</v>
      </c>
      <c r="D407" s="1">
        <v>588.2571</v>
      </c>
      <c r="E407" s="1">
        <f t="shared" si="18"/>
        <v>589.26438</v>
      </c>
      <c r="F407" s="1">
        <f t="shared" si="19"/>
        <v>606.29093</v>
      </c>
      <c r="G407" s="1">
        <f t="shared" si="20"/>
        <v>611.24632</v>
      </c>
      <c r="H407" s="1" t="s">
        <v>1047</v>
      </c>
    </row>
    <row r="408" spans="1:8">
      <c r="A408" s="1">
        <v>411</v>
      </c>
      <c r="B408" s="1" t="s">
        <v>1048</v>
      </c>
      <c r="C408" s="1" t="s">
        <v>444</v>
      </c>
      <c r="D408" s="1">
        <v>526.2414</v>
      </c>
      <c r="E408" s="1">
        <f t="shared" si="18"/>
        <v>527.24868</v>
      </c>
      <c r="F408" s="1">
        <f t="shared" si="19"/>
        <v>544.27523</v>
      </c>
      <c r="G408" s="1">
        <f t="shared" si="20"/>
        <v>549.23062</v>
      </c>
      <c r="H408" s="1" t="s">
        <v>1049</v>
      </c>
    </row>
    <row r="409" spans="1:8">
      <c r="A409" s="1">
        <v>412</v>
      </c>
      <c r="B409" s="1" t="s">
        <v>1050</v>
      </c>
      <c r="C409" s="1" t="s">
        <v>447</v>
      </c>
      <c r="D409" s="1">
        <v>568.252</v>
      </c>
      <c r="E409" s="1">
        <f t="shared" si="18"/>
        <v>569.25928</v>
      </c>
      <c r="F409" s="1">
        <f t="shared" si="19"/>
        <v>586.28583</v>
      </c>
      <c r="G409" s="1">
        <f t="shared" si="20"/>
        <v>591.24122</v>
      </c>
      <c r="H409" s="1" t="s">
        <v>1051</v>
      </c>
    </row>
    <row r="410" spans="1:8">
      <c r="A410" s="1">
        <v>413</v>
      </c>
      <c r="B410" s="1" t="s">
        <v>1052</v>
      </c>
      <c r="C410" s="1" t="s">
        <v>74</v>
      </c>
      <c r="D410" s="1">
        <v>630.2676</v>
      </c>
      <c r="E410" s="1">
        <f t="shared" si="18"/>
        <v>631.27488</v>
      </c>
      <c r="F410" s="1">
        <f t="shared" si="19"/>
        <v>648.30143</v>
      </c>
      <c r="G410" s="1">
        <f t="shared" si="20"/>
        <v>653.25682</v>
      </c>
      <c r="H410" s="1" t="s">
        <v>1053</v>
      </c>
    </row>
    <row r="411" spans="1:8">
      <c r="A411" s="1">
        <v>414</v>
      </c>
      <c r="B411" s="1" t="s">
        <v>1054</v>
      </c>
      <c r="C411" s="1" t="s">
        <v>447</v>
      </c>
      <c r="D411" s="1">
        <v>568.252</v>
      </c>
      <c r="E411" s="1">
        <f t="shared" si="18"/>
        <v>569.25928</v>
      </c>
      <c r="F411" s="1">
        <f t="shared" si="19"/>
        <v>586.28583</v>
      </c>
      <c r="G411" s="1">
        <f t="shared" si="20"/>
        <v>591.24122</v>
      </c>
      <c r="H411" s="1" t="s">
        <v>1055</v>
      </c>
    </row>
    <row r="412" spans="1:8">
      <c r="A412" s="1">
        <v>415</v>
      </c>
      <c r="B412" s="1" t="s">
        <v>1056</v>
      </c>
      <c r="C412" s="1" t="s">
        <v>74</v>
      </c>
      <c r="D412" s="1">
        <v>630.2676</v>
      </c>
      <c r="E412" s="1">
        <f t="shared" si="18"/>
        <v>631.27488</v>
      </c>
      <c r="F412" s="1">
        <f t="shared" si="19"/>
        <v>648.30143</v>
      </c>
      <c r="G412" s="1">
        <f t="shared" si="20"/>
        <v>653.25682</v>
      </c>
      <c r="H412" s="1" t="s">
        <v>1057</v>
      </c>
    </row>
    <row r="413" spans="1:8">
      <c r="A413" s="1">
        <v>416</v>
      </c>
      <c r="B413" s="1" t="s">
        <v>1058</v>
      </c>
      <c r="C413" s="1" t="s">
        <v>37</v>
      </c>
      <c r="D413" s="1">
        <v>610.2625</v>
      </c>
      <c r="E413" s="1">
        <f t="shared" si="18"/>
        <v>611.26978</v>
      </c>
      <c r="F413" s="1">
        <f t="shared" si="19"/>
        <v>628.29633</v>
      </c>
      <c r="G413" s="1">
        <f t="shared" si="20"/>
        <v>633.25172</v>
      </c>
      <c r="H413" s="1" t="s">
        <v>1059</v>
      </c>
    </row>
    <row r="414" spans="1:8">
      <c r="A414" s="1">
        <v>417</v>
      </c>
      <c r="B414" s="1" t="s">
        <v>1060</v>
      </c>
      <c r="C414" s="1" t="s">
        <v>558</v>
      </c>
      <c r="D414" s="1">
        <v>672.2782</v>
      </c>
      <c r="E414" s="1">
        <f t="shared" si="18"/>
        <v>673.28548</v>
      </c>
      <c r="F414" s="1">
        <f t="shared" si="19"/>
        <v>690.31203</v>
      </c>
      <c r="G414" s="1">
        <f t="shared" si="20"/>
        <v>695.26742</v>
      </c>
      <c r="H414" s="1" t="s">
        <v>1061</v>
      </c>
    </row>
    <row r="415" spans="1:11">
      <c r="A415" s="1">
        <v>418</v>
      </c>
      <c r="B415" s="1" t="s">
        <v>1062</v>
      </c>
      <c r="C415" s="1" t="s">
        <v>1063</v>
      </c>
      <c r="D415" s="1">
        <v>650.2938</v>
      </c>
      <c r="E415" s="1">
        <f t="shared" si="18"/>
        <v>651.30108</v>
      </c>
      <c r="F415" s="1">
        <f t="shared" si="19"/>
        <v>668.32763</v>
      </c>
      <c r="G415" s="1">
        <f t="shared" si="20"/>
        <v>673.28302</v>
      </c>
      <c r="H415" s="4" t="s">
        <v>1064</v>
      </c>
      <c r="K415" s="11"/>
    </row>
    <row r="416" spans="1:8">
      <c r="A416" s="1">
        <v>419</v>
      </c>
      <c r="B416" s="1" t="s">
        <v>1065</v>
      </c>
      <c r="C416" s="1" t="s">
        <v>558</v>
      </c>
      <c r="D416" s="1">
        <v>672.2782</v>
      </c>
      <c r="E416" s="1">
        <f t="shared" si="18"/>
        <v>673.28548</v>
      </c>
      <c r="F416" s="1">
        <f t="shared" si="19"/>
        <v>690.31203</v>
      </c>
      <c r="G416" s="1">
        <f t="shared" si="20"/>
        <v>695.26742</v>
      </c>
      <c r="H416" s="1" t="s">
        <v>1066</v>
      </c>
    </row>
    <row r="417" spans="1:8">
      <c r="A417" s="1">
        <v>420</v>
      </c>
      <c r="B417" s="1" t="s">
        <v>1067</v>
      </c>
      <c r="C417" s="1" t="s">
        <v>1068</v>
      </c>
      <c r="D417" s="1">
        <v>546.2465</v>
      </c>
      <c r="E417" s="1">
        <f t="shared" si="18"/>
        <v>547.25378</v>
      </c>
      <c r="F417" s="1">
        <f t="shared" si="19"/>
        <v>564.28033</v>
      </c>
      <c r="G417" s="1">
        <f t="shared" si="20"/>
        <v>569.23572</v>
      </c>
      <c r="H417" s="1" t="s">
        <v>1069</v>
      </c>
    </row>
    <row r="418" spans="1:8">
      <c r="A418" s="1">
        <v>421</v>
      </c>
      <c r="B418" s="1" t="s">
        <v>1070</v>
      </c>
      <c r="C418" s="1" t="s">
        <v>627</v>
      </c>
      <c r="D418" s="1">
        <v>646.2625</v>
      </c>
      <c r="E418" s="1">
        <f t="shared" si="18"/>
        <v>647.26978</v>
      </c>
      <c r="F418" s="1">
        <f t="shared" si="19"/>
        <v>664.29633</v>
      </c>
      <c r="G418" s="1">
        <f t="shared" si="20"/>
        <v>669.25172</v>
      </c>
      <c r="H418" s="1" t="s">
        <v>1071</v>
      </c>
    </row>
    <row r="419" spans="1:8">
      <c r="A419" s="1">
        <v>422</v>
      </c>
      <c r="B419" s="1" t="s">
        <v>1072</v>
      </c>
      <c r="C419" s="1" t="s">
        <v>634</v>
      </c>
      <c r="D419" s="1">
        <v>602.2363</v>
      </c>
      <c r="E419" s="1">
        <f t="shared" si="18"/>
        <v>603.24358</v>
      </c>
      <c r="F419" s="1">
        <f t="shared" si="19"/>
        <v>620.27013</v>
      </c>
      <c r="G419" s="1">
        <f t="shared" si="20"/>
        <v>625.22552</v>
      </c>
      <c r="H419" s="1" t="s">
        <v>1073</v>
      </c>
    </row>
    <row r="420" spans="1:8">
      <c r="A420" s="1">
        <v>423</v>
      </c>
      <c r="B420" s="1" t="s">
        <v>1074</v>
      </c>
      <c r="C420" s="1" t="s">
        <v>538</v>
      </c>
      <c r="D420" s="1">
        <v>588.2571</v>
      </c>
      <c r="E420" s="1">
        <f t="shared" si="18"/>
        <v>589.26438</v>
      </c>
      <c r="F420" s="1">
        <f t="shared" si="19"/>
        <v>606.29093</v>
      </c>
      <c r="G420" s="1">
        <f t="shared" si="20"/>
        <v>611.24632</v>
      </c>
      <c r="H420" s="1" t="s">
        <v>1075</v>
      </c>
    </row>
    <row r="421" spans="1:8">
      <c r="A421" s="1">
        <v>424</v>
      </c>
      <c r="B421" s="1" t="s">
        <v>1076</v>
      </c>
      <c r="C421" s="1" t="s">
        <v>74</v>
      </c>
      <c r="D421" s="1">
        <v>630.2676</v>
      </c>
      <c r="E421" s="1">
        <f t="shared" si="18"/>
        <v>631.27488</v>
      </c>
      <c r="F421" s="1">
        <f t="shared" si="19"/>
        <v>648.30143</v>
      </c>
      <c r="G421" s="1">
        <f t="shared" si="20"/>
        <v>653.25682</v>
      </c>
      <c r="H421" s="1" t="s">
        <v>1077</v>
      </c>
    </row>
    <row r="422" spans="1:11">
      <c r="A422" s="1">
        <v>425</v>
      </c>
      <c r="B422" s="1" t="s">
        <v>1078</v>
      </c>
      <c r="C422" s="1" t="s">
        <v>1079</v>
      </c>
      <c r="D422" s="1">
        <v>650.2727</v>
      </c>
      <c r="E422" s="1">
        <f t="shared" si="18"/>
        <v>651.27998</v>
      </c>
      <c r="F422" s="1">
        <f t="shared" si="19"/>
        <v>668.30653</v>
      </c>
      <c r="G422" s="1">
        <f t="shared" si="20"/>
        <v>673.26192</v>
      </c>
      <c r="H422" s="4" t="s">
        <v>1080</v>
      </c>
      <c r="K422" s="11"/>
    </row>
    <row r="423" spans="1:8">
      <c r="A423" s="1">
        <v>426</v>
      </c>
      <c r="B423" s="1" t="s">
        <v>1081</v>
      </c>
      <c r="C423" s="1" t="s">
        <v>546</v>
      </c>
      <c r="D423" s="1">
        <v>542.2152</v>
      </c>
      <c r="E423" s="1">
        <f t="shared" si="18"/>
        <v>543.22248</v>
      </c>
      <c r="F423" s="1">
        <f t="shared" si="19"/>
        <v>560.24903</v>
      </c>
      <c r="G423" s="1">
        <f t="shared" si="20"/>
        <v>565.20442</v>
      </c>
      <c r="H423" s="1" t="s">
        <v>1082</v>
      </c>
    </row>
    <row r="424" spans="1:8">
      <c r="A424" s="1">
        <v>427</v>
      </c>
      <c r="B424" s="1" t="s">
        <v>1083</v>
      </c>
      <c r="C424" s="1" t="s">
        <v>37</v>
      </c>
      <c r="D424" s="1">
        <v>610.2625</v>
      </c>
      <c r="E424" s="1">
        <f t="shared" si="18"/>
        <v>611.26978</v>
      </c>
      <c r="F424" s="1">
        <f t="shared" si="19"/>
        <v>628.29633</v>
      </c>
      <c r="G424" s="1">
        <f t="shared" si="20"/>
        <v>633.25172</v>
      </c>
      <c r="H424" s="1" t="s">
        <v>1084</v>
      </c>
    </row>
    <row r="425" spans="1:8">
      <c r="A425" s="1">
        <v>428</v>
      </c>
      <c r="B425" s="1" t="s">
        <v>1085</v>
      </c>
      <c r="C425" s="1" t="s">
        <v>558</v>
      </c>
      <c r="D425" s="1">
        <v>672.2782</v>
      </c>
      <c r="E425" s="1">
        <f t="shared" si="18"/>
        <v>673.28548</v>
      </c>
      <c r="F425" s="1">
        <f t="shared" si="19"/>
        <v>690.31203</v>
      </c>
      <c r="G425" s="1">
        <f t="shared" si="20"/>
        <v>695.26742</v>
      </c>
      <c r="H425" s="1" t="s">
        <v>1086</v>
      </c>
    </row>
    <row r="426" spans="1:8">
      <c r="A426" s="1">
        <v>429</v>
      </c>
      <c r="B426" s="1" t="s">
        <v>1087</v>
      </c>
      <c r="C426" s="1" t="s">
        <v>1033</v>
      </c>
      <c r="D426" s="1">
        <v>760.3095</v>
      </c>
      <c r="E426" s="1">
        <f t="shared" si="18"/>
        <v>761.31678</v>
      </c>
      <c r="F426" s="1">
        <f t="shared" si="19"/>
        <v>778.34333</v>
      </c>
      <c r="G426" s="1">
        <f t="shared" si="20"/>
        <v>783.29872</v>
      </c>
      <c r="H426" s="1" t="s">
        <v>1088</v>
      </c>
    </row>
    <row r="427" spans="1:8">
      <c r="A427" s="1">
        <v>430</v>
      </c>
      <c r="B427" s="1" t="s">
        <v>1089</v>
      </c>
      <c r="C427" s="1" t="s">
        <v>563</v>
      </c>
      <c r="D427" s="1">
        <v>714.2888</v>
      </c>
      <c r="E427" s="1">
        <f t="shared" si="18"/>
        <v>715.29608</v>
      </c>
      <c r="F427" s="1">
        <f t="shared" si="19"/>
        <v>732.32263</v>
      </c>
      <c r="G427" s="1">
        <f t="shared" si="20"/>
        <v>737.27802</v>
      </c>
      <c r="H427" s="1" t="s">
        <v>1090</v>
      </c>
    </row>
    <row r="428" spans="1:8">
      <c r="A428" s="1">
        <v>431</v>
      </c>
      <c r="B428" s="1" t="s">
        <v>1091</v>
      </c>
      <c r="C428" s="1" t="s">
        <v>1092</v>
      </c>
      <c r="D428" s="1">
        <v>802.3201</v>
      </c>
      <c r="E428" s="1">
        <f t="shared" si="18"/>
        <v>803.32738</v>
      </c>
      <c r="F428" s="1">
        <f t="shared" si="19"/>
        <v>820.35393</v>
      </c>
      <c r="G428" s="1">
        <f t="shared" si="20"/>
        <v>825.30932</v>
      </c>
      <c r="H428" s="1" t="s">
        <v>1093</v>
      </c>
    </row>
    <row r="429" spans="1:8">
      <c r="A429" s="1">
        <v>432</v>
      </c>
      <c r="B429" s="1" t="s">
        <v>1094</v>
      </c>
      <c r="C429" s="1" t="s">
        <v>644</v>
      </c>
      <c r="D429" s="1">
        <v>776.3044</v>
      </c>
      <c r="E429" s="1">
        <f t="shared" si="18"/>
        <v>777.31168</v>
      </c>
      <c r="F429" s="1">
        <f t="shared" si="19"/>
        <v>794.33823</v>
      </c>
      <c r="G429" s="1">
        <f t="shared" si="20"/>
        <v>799.29362</v>
      </c>
      <c r="H429" s="1" t="s">
        <v>1095</v>
      </c>
    </row>
    <row r="430" spans="1:8">
      <c r="A430" s="1">
        <v>433</v>
      </c>
      <c r="B430" s="1" t="s">
        <v>1096</v>
      </c>
      <c r="C430" s="1" t="s">
        <v>538</v>
      </c>
      <c r="D430" s="1">
        <v>588.2571</v>
      </c>
      <c r="E430" s="1">
        <f t="shared" si="18"/>
        <v>589.26438</v>
      </c>
      <c r="F430" s="1">
        <f t="shared" si="19"/>
        <v>606.29093</v>
      </c>
      <c r="G430" s="1">
        <f t="shared" si="20"/>
        <v>611.24632</v>
      </c>
      <c r="H430" s="1" t="s">
        <v>1097</v>
      </c>
    </row>
    <row r="431" spans="1:11">
      <c r="A431" s="1">
        <v>434</v>
      </c>
      <c r="B431" s="1" t="s">
        <v>1098</v>
      </c>
      <c r="C431" s="1" t="s">
        <v>1099</v>
      </c>
      <c r="D431" s="4">
        <v>588.2571</v>
      </c>
      <c r="E431" s="4">
        <f t="shared" si="18"/>
        <v>589.26438</v>
      </c>
      <c r="F431" s="4">
        <f t="shared" si="19"/>
        <v>606.29093</v>
      </c>
      <c r="G431" s="1">
        <f t="shared" si="20"/>
        <v>611.24632</v>
      </c>
      <c r="H431" s="1" t="s">
        <v>1100</v>
      </c>
      <c r="K431" s="2" t="s">
        <v>1101</v>
      </c>
    </row>
    <row r="432" spans="1:8">
      <c r="A432" s="1">
        <v>435</v>
      </c>
      <c r="B432" s="1" t="s">
        <v>1102</v>
      </c>
      <c r="C432" s="1" t="s">
        <v>1103</v>
      </c>
      <c r="D432" s="1">
        <v>796.3095</v>
      </c>
      <c r="E432" s="1">
        <f t="shared" si="18"/>
        <v>797.31678</v>
      </c>
      <c r="F432" s="1">
        <f t="shared" si="19"/>
        <v>814.34333</v>
      </c>
      <c r="G432" s="1">
        <f t="shared" si="20"/>
        <v>819.29872</v>
      </c>
      <c r="H432" s="1" t="s">
        <v>1104</v>
      </c>
    </row>
    <row r="433" spans="1:8">
      <c r="A433" s="1">
        <v>436</v>
      </c>
      <c r="B433" s="1" t="s">
        <v>1105</v>
      </c>
      <c r="C433" s="1" t="s">
        <v>644</v>
      </c>
      <c r="D433" s="1">
        <v>776.3044</v>
      </c>
      <c r="E433" s="1">
        <f t="shared" si="18"/>
        <v>777.31168</v>
      </c>
      <c r="F433" s="1">
        <f t="shared" si="19"/>
        <v>794.33823</v>
      </c>
      <c r="G433" s="1">
        <f t="shared" si="20"/>
        <v>799.29362</v>
      </c>
      <c r="H433" s="1" t="s">
        <v>1106</v>
      </c>
    </row>
    <row r="434" spans="1:8">
      <c r="A434" s="1">
        <v>437</v>
      </c>
      <c r="B434" s="1" t="s">
        <v>1107</v>
      </c>
      <c r="C434" s="1" t="s">
        <v>1108</v>
      </c>
      <c r="D434" s="1">
        <v>692.2833</v>
      </c>
      <c r="E434" s="1">
        <f t="shared" si="18"/>
        <v>693.29058</v>
      </c>
      <c r="F434" s="1">
        <f t="shared" si="19"/>
        <v>710.31713</v>
      </c>
      <c r="G434" s="1">
        <f t="shared" si="20"/>
        <v>715.27252</v>
      </c>
      <c r="H434" s="1" t="s">
        <v>1109</v>
      </c>
    </row>
    <row r="435" spans="1:8">
      <c r="A435" s="1">
        <v>438</v>
      </c>
      <c r="B435" s="1" t="s">
        <v>1110</v>
      </c>
      <c r="C435" s="1" t="s">
        <v>1111</v>
      </c>
      <c r="D435" s="1">
        <v>734.2938</v>
      </c>
      <c r="E435" s="1">
        <f t="shared" si="18"/>
        <v>735.30108</v>
      </c>
      <c r="F435" s="1">
        <f t="shared" si="19"/>
        <v>752.32763</v>
      </c>
      <c r="G435" s="1">
        <f t="shared" si="20"/>
        <v>757.28302</v>
      </c>
      <c r="H435" s="1" t="s">
        <v>1112</v>
      </c>
    </row>
    <row r="436" spans="1:8">
      <c r="A436" s="1">
        <v>439</v>
      </c>
      <c r="B436" s="1" t="s">
        <v>1113</v>
      </c>
      <c r="C436" s="1" t="s">
        <v>647</v>
      </c>
      <c r="D436" s="1">
        <v>838.3201</v>
      </c>
      <c r="E436" s="1">
        <f t="shared" si="18"/>
        <v>839.32738</v>
      </c>
      <c r="F436" s="1">
        <f t="shared" si="19"/>
        <v>856.35393</v>
      </c>
      <c r="G436" s="1">
        <f t="shared" si="20"/>
        <v>861.30932</v>
      </c>
      <c r="H436" s="1" t="s">
        <v>1114</v>
      </c>
    </row>
    <row r="437" spans="1:8">
      <c r="A437" s="1">
        <v>440</v>
      </c>
      <c r="B437" s="1" t="s">
        <v>1115</v>
      </c>
      <c r="C437" s="1" t="s">
        <v>1111</v>
      </c>
      <c r="D437" s="1">
        <v>734.2938</v>
      </c>
      <c r="E437" s="1">
        <f t="shared" si="18"/>
        <v>735.30108</v>
      </c>
      <c r="F437" s="1">
        <f t="shared" si="19"/>
        <v>752.32763</v>
      </c>
      <c r="G437" s="1">
        <f t="shared" si="20"/>
        <v>757.28302</v>
      </c>
      <c r="H437" s="1" t="s">
        <v>1116</v>
      </c>
    </row>
    <row r="438" spans="1:8">
      <c r="A438" s="1">
        <v>441</v>
      </c>
      <c r="B438" s="1" t="s">
        <v>1117</v>
      </c>
      <c r="C438" s="1" t="s">
        <v>644</v>
      </c>
      <c r="D438" s="1">
        <v>776.3044</v>
      </c>
      <c r="E438" s="1">
        <f t="shared" si="18"/>
        <v>777.31168</v>
      </c>
      <c r="F438" s="1">
        <f t="shared" si="19"/>
        <v>794.33823</v>
      </c>
      <c r="G438" s="1">
        <f t="shared" si="20"/>
        <v>799.29362</v>
      </c>
      <c r="H438" s="1" t="s">
        <v>1118</v>
      </c>
    </row>
    <row r="439" spans="1:8">
      <c r="A439" s="1">
        <v>442</v>
      </c>
      <c r="B439" s="1" t="s">
        <v>1119</v>
      </c>
      <c r="C439" s="1" t="s">
        <v>647</v>
      </c>
      <c r="D439" s="1">
        <v>838.3201</v>
      </c>
      <c r="E439" s="1">
        <f t="shared" si="18"/>
        <v>839.32738</v>
      </c>
      <c r="F439" s="1">
        <f t="shared" si="19"/>
        <v>856.35393</v>
      </c>
      <c r="G439" s="1">
        <f t="shared" si="20"/>
        <v>861.30932</v>
      </c>
      <c r="H439" s="1" t="s">
        <v>1120</v>
      </c>
    </row>
    <row r="440" spans="1:8">
      <c r="A440" s="1">
        <v>443</v>
      </c>
      <c r="B440" s="1" t="s">
        <v>1121</v>
      </c>
      <c r="C440" s="1" t="s">
        <v>1103</v>
      </c>
      <c r="D440" s="1">
        <v>796.3095</v>
      </c>
      <c r="E440" s="1">
        <f t="shared" si="18"/>
        <v>797.31678</v>
      </c>
      <c r="F440" s="1">
        <f t="shared" si="19"/>
        <v>814.34333</v>
      </c>
      <c r="G440" s="1">
        <f t="shared" si="20"/>
        <v>819.29872</v>
      </c>
      <c r="H440" s="1" t="s">
        <v>1122</v>
      </c>
    </row>
    <row r="441" spans="1:8">
      <c r="A441" s="1">
        <v>444</v>
      </c>
      <c r="B441" s="1" t="s">
        <v>1123</v>
      </c>
      <c r="C441" s="1" t="s">
        <v>74</v>
      </c>
      <c r="D441" s="1">
        <v>630.2676</v>
      </c>
      <c r="E441" s="1">
        <f t="shared" si="18"/>
        <v>631.27488</v>
      </c>
      <c r="F441" s="1">
        <f t="shared" si="19"/>
        <v>648.30143</v>
      </c>
      <c r="G441" s="1">
        <f t="shared" si="20"/>
        <v>653.25682</v>
      </c>
      <c r="H441" s="1" t="s">
        <v>1124</v>
      </c>
    </row>
    <row r="442" spans="1:8">
      <c r="A442" s="1">
        <v>445</v>
      </c>
      <c r="B442" s="1" t="s">
        <v>1125</v>
      </c>
      <c r="C442" s="1" t="s">
        <v>1126</v>
      </c>
      <c r="D442" s="1">
        <v>526.2203</v>
      </c>
      <c r="E442" s="1">
        <f t="shared" si="18"/>
        <v>527.22758</v>
      </c>
      <c r="F442" s="1">
        <f t="shared" si="19"/>
        <v>544.25413</v>
      </c>
      <c r="G442" s="1">
        <f t="shared" si="20"/>
        <v>549.20952</v>
      </c>
      <c r="H442" s="1" t="s">
        <v>1127</v>
      </c>
    </row>
    <row r="443" spans="1:8">
      <c r="A443" s="1">
        <v>446</v>
      </c>
      <c r="B443" s="1" t="s">
        <v>1128</v>
      </c>
      <c r="C443" s="1" t="s">
        <v>1129</v>
      </c>
      <c r="D443" s="1">
        <v>654.2676</v>
      </c>
      <c r="E443" s="1">
        <f t="shared" si="18"/>
        <v>655.27488</v>
      </c>
      <c r="F443" s="1">
        <f t="shared" si="19"/>
        <v>672.30143</v>
      </c>
      <c r="G443" s="1">
        <f t="shared" si="20"/>
        <v>677.25682</v>
      </c>
      <c r="H443" s="1" t="s">
        <v>1130</v>
      </c>
    </row>
    <row r="444" spans="1:8">
      <c r="A444" s="1">
        <v>447</v>
      </c>
      <c r="B444" s="1" t="s">
        <v>1131</v>
      </c>
      <c r="C444" s="1" t="s">
        <v>1129</v>
      </c>
      <c r="D444" s="1">
        <v>654.2676</v>
      </c>
      <c r="E444" s="1">
        <f t="shared" si="18"/>
        <v>655.27488</v>
      </c>
      <c r="F444" s="1">
        <f t="shared" si="19"/>
        <v>672.30143</v>
      </c>
      <c r="G444" s="1">
        <f t="shared" si="20"/>
        <v>677.25682</v>
      </c>
      <c r="H444" s="1" t="s">
        <v>1132</v>
      </c>
    </row>
    <row r="445" spans="1:8">
      <c r="A445" s="1">
        <v>448</v>
      </c>
      <c r="B445" s="1" t="s">
        <v>1133</v>
      </c>
      <c r="C445" s="1" t="s">
        <v>1134</v>
      </c>
      <c r="D445" s="1">
        <v>486.2465</v>
      </c>
      <c r="E445" s="1">
        <f t="shared" si="18"/>
        <v>487.25378</v>
      </c>
      <c r="F445" s="1">
        <f t="shared" si="19"/>
        <v>504.28033</v>
      </c>
      <c r="G445" s="1">
        <f t="shared" si="20"/>
        <v>509.23572</v>
      </c>
      <c r="H445" s="1" t="s">
        <v>1135</v>
      </c>
    </row>
    <row r="446" spans="1:8">
      <c r="A446" s="1">
        <v>449</v>
      </c>
      <c r="B446" s="1" t="s">
        <v>1136</v>
      </c>
      <c r="C446" s="1" t="s">
        <v>1137</v>
      </c>
      <c r="D446" s="1">
        <v>528.2571</v>
      </c>
      <c r="E446" s="1">
        <f t="shared" si="18"/>
        <v>529.26438</v>
      </c>
      <c r="F446" s="1">
        <f t="shared" si="19"/>
        <v>546.29093</v>
      </c>
      <c r="G446" s="1">
        <f t="shared" si="20"/>
        <v>551.24632</v>
      </c>
      <c r="H446" s="1" t="s">
        <v>1138</v>
      </c>
    </row>
    <row r="447" spans="1:8">
      <c r="A447" s="1">
        <v>450</v>
      </c>
      <c r="B447" s="1" t="s">
        <v>1139</v>
      </c>
      <c r="C447" s="1" t="s">
        <v>1137</v>
      </c>
      <c r="D447" s="1">
        <v>528.2571</v>
      </c>
      <c r="E447" s="1">
        <f t="shared" si="18"/>
        <v>529.26438</v>
      </c>
      <c r="F447" s="1">
        <f t="shared" si="19"/>
        <v>546.29093</v>
      </c>
      <c r="G447" s="1">
        <f t="shared" si="20"/>
        <v>551.24632</v>
      </c>
      <c r="H447" s="1" t="s">
        <v>1140</v>
      </c>
    </row>
    <row r="448" spans="1:8">
      <c r="A448" s="1">
        <v>451</v>
      </c>
      <c r="B448" s="1" t="s">
        <v>1141</v>
      </c>
      <c r="C448" s="1" t="s">
        <v>781</v>
      </c>
      <c r="D448" s="1">
        <v>570.2676</v>
      </c>
      <c r="E448" s="1">
        <f t="shared" si="18"/>
        <v>571.27488</v>
      </c>
      <c r="F448" s="1">
        <f t="shared" si="19"/>
        <v>588.30143</v>
      </c>
      <c r="G448" s="1">
        <f t="shared" si="20"/>
        <v>593.25682</v>
      </c>
      <c r="H448" s="1" t="s">
        <v>1142</v>
      </c>
    </row>
    <row r="449" spans="1:8">
      <c r="A449" s="1">
        <v>452</v>
      </c>
      <c r="B449" s="1" t="s">
        <v>1143</v>
      </c>
      <c r="C449" s="1" t="s">
        <v>781</v>
      </c>
      <c r="D449" s="1">
        <v>570.2676</v>
      </c>
      <c r="E449" s="1">
        <f t="shared" si="18"/>
        <v>571.27488</v>
      </c>
      <c r="F449" s="1">
        <f t="shared" si="19"/>
        <v>588.30143</v>
      </c>
      <c r="G449" s="1">
        <f t="shared" si="20"/>
        <v>593.25682</v>
      </c>
      <c r="H449" s="1" t="s">
        <v>1144</v>
      </c>
    </row>
    <row r="450" spans="1:8">
      <c r="A450" s="1">
        <v>453</v>
      </c>
      <c r="B450" s="1" t="s">
        <v>1145</v>
      </c>
      <c r="C450" s="1" t="s">
        <v>1146</v>
      </c>
      <c r="D450" s="1">
        <v>612.2782</v>
      </c>
      <c r="E450" s="1">
        <f t="shared" si="18"/>
        <v>613.28548</v>
      </c>
      <c r="F450" s="1">
        <f t="shared" si="19"/>
        <v>630.31203</v>
      </c>
      <c r="G450" s="1">
        <f t="shared" si="20"/>
        <v>635.26742</v>
      </c>
      <c r="H450" s="1" t="s">
        <v>1147</v>
      </c>
    </row>
    <row r="451" spans="1:8">
      <c r="A451" s="1">
        <v>454</v>
      </c>
      <c r="B451" s="1" t="s">
        <v>1148</v>
      </c>
      <c r="C451" s="1" t="s">
        <v>781</v>
      </c>
      <c r="D451" s="1">
        <v>570.2676</v>
      </c>
      <c r="E451" s="1">
        <f t="shared" ref="E451:E514" si="21">D451+1.00728</f>
        <v>571.27488</v>
      </c>
      <c r="F451" s="1">
        <f t="shared" ref="F451:F514" si="22">D451+18.03383</f>
        <v>588.30143</v>
      </c>
      <c r="G451" s="1">
        <f t="shared" ref="G451:G514" si="23">D451+22.98922</f>
        <v>593.25682</v>
      </c>
      <c r="H451" s="1" t="s">
        <v>1149</v>
      </c>
    </row>
    <row r="452" spans="1:8">
      <c r="A452" s="1">
        <v>455</v>
      </c>
      <c r="B452" s="1" t="s">
        <v>1150</v>
      </c>
      <c r="C452" s="1" t="s">
        <v>1146</v>
      </c>
      <c r="D452" s="1">
        <v>612.2782</v>
      </c>
      <c r="E452" s="1">
        <f t="shared" si="21"/>
        <v>613.28548</v>
      </c>
      <c r="F452" s="1">
        <f t="shared" si="22"/>
        <v>630.31203</v>
      </c>
      <c r="G452" s="1">
        <f t="shared" si="23"/>
        <v>635.26742</v>
      </c>
      <c r="H452" s="1" t="s">
        <v>1151</v>
      </c>
    </row>
    <row r="453" spans="1:8">
      <c r="A453" s="1">
        <v>456</v>
      </c>
      <c r="B453" s="1" t="s">
        <v>1152</v>
      </c>
      <c r="C453" s="1" t="s">
        <v>1153</v>
      </c>
      <c r="D453" s="1">
        <v>632.2833</v>
      </c>
      <c r="E453" s="1">
        <f t="shared" si="21"/>
        <v>633.29058</v>
      </c>
      <c r="F453" s="1">
        <f t="shared" si="22"/>
        <v>650.31713</v>
      </c>
      <c r="G453" s="1">
        <f t="shared" si="23"/>
        <v>655.27252</v>
      </c>
      <c r="H453" s="1" t="s">
        <v>1154</v>
      </c>
    </row>
    <row r="454" ht="16.8" spans="1:11">
      <c r="A454" s="1">
        <v>457</v>
      </c>
      <c r="B454" s="1" t="s">
        <v>1155</v>
      </c>
      <c r="C454" s="1" t="s">
        <v>781</v>
      </c>
      <c r="D454" s="1">
        <v>570.2676</v>
      </c>
      <c r="E454" s="1">
        <f t="shared" si="21"/>
        <v>571.27488</v>
      </c>
      <c r="F454" s="1">
        <f t="shared" si="22"/>
        <v>588.30143</v>
      </c>
      <c r="G454" s="1">
        <f t="shared" si="23"/>
        <v>593.25682</v>
      </c>
      <c r="H454" s="4" t="s">
        <v>1156</v>
      </c>
      <c r="K454" s="12"/>
    </row>
    <row r="455" spans="1:8">
      <c r="A455" s="1">
        <v>458</v>
      </c>
      <c r="B455" s="1" t="s">
        <v>1157</v>
      </c>
      <c r="C455" s="1" t="s">
        <v>1146</v>
      </c>
      <c r="D455" s="1">
        <v>612.2782</v>
      </c>
      <c r="E455" s="1">
        <f t="shared" si="21"/>
        <v>613.28548</v>
      </c>
      <c r="F455" s="1">
        <f t="shared" si="22"/>
        <v>630.31203</v>
      </c>
      <c r="G455" s="1">
        <f t="shared" si="23"/>
        <v>635.26742</v>
      </c>
      <c r="H455" s="1" t="s">
        <v>1158</v>
      </c>
    </row>
    <row r="456" spans="1:8">
      <c r="A456" s="1">
        <v>459</v>
      </c>
      <c r="B456" s="1" t="s">
        <v>1159</v>
      </c>
      <c r="C456" s="1" t="s">
        <v>796</v>
      </c>
      <c r="D456" s="1">
        <v>654.2888</v>
      </c>
      <c r="E456" s="1">
        <f t="shared" si="21"/>
        <v>655.29608</v>
      </c>
      <c r="F456" s="1">
        <f t="shared" si="22"/>
        <v>672.32263</v>
      </c>
      <c r="G456" s="1">
        <f t="shared" si="23"/>
        <v>677.27802</v>
      </c>
      <c r="H456" s="1" t="s">
        <v>1160</v>
      </c>
    </row>
    <row r="457" spans="1:8">
      <c r="A457" s="1">
        <v>460</v>
      </c>
      <c r="B457" s="1" t="s">
        <v>1161</v>
      </c>
      <c r="C457" s="1" t="s">
        <v>1162</v>
      </c>
      <c r="D457" s="1">
        <v>418.2203</v>
      </c>
      <c r="E457" s="1">
        <f t="shared" si="21"/>
        <v>419.22758</v>
      </c>
      <c r="F457" s="1">
        <f t="shared" si="22"/>
        <v>436.25413</v>
      </c>
      <c r="G457" s="1">
        <f t="shared" si="23"/>
        <v>441.20952</v>
      </c>
      <c r="H457" s="1" t="s">
        <v>1163</v>
      </c>
    </row>
    <row r="458" spans="1:8">
      <c r="A458" s="1">
        <v>461</v>
      </c>
      <c r="B458" s="1" t="s">
        <v>1164</v>
      </c>
      <c r="C458" s="1" t="s">
        <v>600</v>
      </c>
      <c r="D458" s="4">
        <v>522.2465</v>
      </c>
      <c r="E458" s="4">
        <f t="shared" si="21"/>
        <v>523.25378</v>
      </c>
      <c r="F458" s="4">
        <f t="shared" si="22"/>
        <v>540.28033</v>
      </c>
      <c r="G458" s="1">
        <f t="shared" si="23"/>
        <v>545.23572</v>
      </c>
      <c r="H458" s="1" t="s">
        <v>1165</v>
      </c>
    </row>
    <row r="459" spans="1:8">
      <c r="A459" s="1">
        <v>462</v>
      </c>
      <c r="B459" s="1" t="s">
        <v>1166</v>
      </c>
      <c r="C459" s="1" t="s">
        <v>1167</v>
      </c>
      <c r="D459" s="1">
        <v>502.2414</v>
      </c>
      <c r="E459" s="1">
        <f t="shared" si="21"/>
        <v>503.24868</v>
      </c>
      <c r="F459" s="1">
        <f t="shared" si="22"/>
        <v>520.27523</v>
      </c>
      <c r="G459" s="1">
        <f t="shared" si="23"/>
        <v>525.23062</v>
      </c>
      <c r="H459" s="1" t="s">
        <v>1168</v>
      </c>
    </row>
    <row r="460" spans="1:8">
      <c r="A460" s="1">
        <v>463</v>
      </c>
      <c r="B460" s="1" t="s">
        <v>1169</v>
      </c>
      <c r="C460" s="1" t="s">
        <v>1170</v>
      </c>
      <c r="D460" s="1">
        <v>564.2571</v>
      </c>
      <c r="E460" s="1">
        <f t="shared" si="21"/>
        <v>565.26438</v>
      </c>
      <c r="F460" s="1">
        <f t="shared" si="22"/>
        <v>582.29093</v>
      </c>
      <c r="G460" s="1">
        <f t="shared" si="23"/>
        <v>587.24632</v>
      </c>
      <c r="H460" s="1" t="s">
        <v>1171</v>
      </c>
    </row>
    <row r="461" spans="1:8">
      <c r="A461" s="1">
        <v>464</v>
      </c>
      <c r="B461" s="1" t="s">
        <v>1172</v>
      </c>
      <c r="C461" s="1" t="s">
        <v>830</v>
      </c>
      <c r="D461" s="1">
        <v>606.2676</v>
      </c>
      <c r="E461" s="1">
        <f t="shared" si="21"/>
        <v>607.27488</v>
      </c>
      <c r="F461" s="1">
        <f t="shared" si="22"/>
        <v>624.30143</v>
      </c>
      <c r="G461" s="1">
        <f t="shared" si="23"/>
        <v>629.25682</v>
      </c>
      <c r="H461" s="1" t="s">
        <v>1173</v>
      </c>
    </row>
    <row r="462" spans="1:8">
      <c r="A462" s="1">
        <v>465</v>
      </c>
      <c r="B462" s="1" t="s">
        <v>1174</v>
      </c>
      <c r="C462" s="1" t="s">
        <v>1175</v>
      </c>
      <c r="D462" s="1">
        <v>690.2888</v>
      </c>
      <c r="E462" s="1">
        <f t="shared" si="21"/>
        <v>691.29608</v>
      </c>
      <c r="F462" s="1">
        <f t="shared" si="22"/>
        <v>708.32263</v>
      </c>
      <c r="G462" s="1">
        <f t="shared" si="23"/>
        <v>713.27802</v>
      </c>
      <c r="H462" s="1" t="s">
        <v>1176</v>
      </c>
    </row>
    <row r="463" spans="1:8">
      <c r="A463" s="1">
        <v>466</v>
      </c>
      <c r="B463" s="1" t="s">
        <v>1177</v>
      </c>
      <c r="C463" s="1" t="s">
        <v>1178</v>
      </c>
      <c r="D463" s="1">
        <v>648.2782</v>
      </c>
      <c r="E463" s="1">
        <f t="shared" si="21"/>
        <v>649.28548</v>
      </c>
      <c r="F463" s="1">
        <f t="shared" si="22"/>
        <v>666.31203</v>
      </c>
      <c r="G463" s="1">
        <f t="shared" si="23"/>
        <v>671.26742</v>
      </c>
      <c r="H463" s="1" t="s">
        <v>1179</v>
      </c>
    </row>
    <row r="464" spans="1:11">
      <c r="A464" s="1">
        <v>467</v>
      </c>
      <c r="B464" s="1" t="s">
        <v>1180</v>
      </c>
      <c r="C464" s="1" t="s">
        <v>1181</v>
      </c>
      <c r="D464" s="4">
        <v>623.2259</v>
      </c>
      <c r="E464" s="4">
        <f t="shared" si="21"/>
        <v>624.23318</v>
      </c>
      <c r="F464" s="4">
        <f t="shared" si="22"/>
        <v>641.25973</v>
      </c>
      <c r="G464" s="1">
        <f t="shared" si="23"/>
        <v>646.21512</v>
      </c>
      <c r="H464" s="1" t="s">
        <v>1182</v>
      </c>
      <c r="K464" s="2" t="s">
        <v>1183</v>
      </c>
    </row>
    <row r="465" spans="1:8">
      <c r="A465" s="1">
        <v>468</v>
      </c>
      <c r="B465" s="1" t="s">
        <v>1184</v>
      </c>
      <c r="C465" s="1" t="s">
        <v>1170</v>
      </c>
      <c r="D465" s="1">
        <v>564.2571</v>
      </c>
      <c r="E465" s="1">
        <f t="shared" si="21"/>
        <v>565.26438</v>
      </c>
      <c r="F465" s="1">
        <f t="shared" si="22"/>
        <v>582.29093</v>
      </c>
      <c r="G465" s="1">
        <f t="shared" si="23"/>
        <v>587.24632</v>
      </c>
      <c r="H465" s="1" t="s">
        <v>1185</v>
      </c>
    </row>
    <row r="466" spans="1:8">
      <c r="A466" s="1">
        <v>469</v>
      </c>
      <c r="B466" s="1" t="s">
        <v>1186</v>
      </c>
      <c r="C466" s="1" t="s">
        <v>538</v>
      </c>
      <c r="D466" s="1">
        <v>588.2571</v>
      </c>
      <c r="E466" s="1">
        <f t="shared" si="21"/>
        <v>589.26438</v>
      </c>
      <c r="F466" s="1">
        <f t="shared" si="22"/>
        <v>606.29093</v>
      </c>
      <c r="G466" s="1">
        <f t="shared" si="23"/>
        <v>611.24632</v>
      </c>
      <c r="H466" s="1" t="s">
        <v>1187</v>
      </c>
    </row>
    <row r="467" spans="1:8">
      <c r="A467" s="1">
        <v>470</v>
      </c>
      <c r="B467" s="1" t="s">
        <v>1188</v>
      </c>
      <c r="C467" s="1" t="s">
        <v>74</v>
      </c>
      <c r="D467" s="1">
        <v>630.2676</v>
      </c>
      <c r="E467" s="1">
        <f t="shared" si="21"/>
        <v>631.27488</v>
      </c>
      <c r="F467" s="1">
        <f t="shared" si="22"/>
        <v>648.30143</v>
      </c>
      <c r="G467" s="1">
        <f t="shared" si="23"/>
        <v>653.25682</v>
      </c>
      <c r="H467" s="1" t="s">
        <v>1189</v>
      </c>
    </row>
    <row r="468" spans="1:8">
      <c r="A468" s="1">
        <v>471</v>
      </c>
      <c r="B468" s="1" t="s">
        <v>1190</v>
      </c>
      <c r="C468" s="1" t="s">
        <v>1191</v>
      </c>
      <c r="D468" s="1">
        <v>668.2833</v>
      </c>
      <c r="E468" s="1">
        <f t="shared" si="21"/>
        <v>669.29058</v>
      </c>
      <c r="F468" s="1">
        <f t="shared" si="22"/>
        <v>686.31713</v>
      </c>
      <c r="G468" s="1">
        <f t="shared" si="23"/>
        <v>691.27252</v>
      </c>
      <c r="H468" s="1" t="s">
        <v>1192</v>
      </c>
    </row>
    <row r="469" spans="1:8">
      <c r="A469" s="1">
        <v>472</v>
      </c>
      <c r="B469" s="1" t="s">
        <v>1193</v>
      </c>
      <c r="C469" s="1" t="s">
        <v>1042</v>
      </c>
      <c r="D469" s="1">
        <v>484.2308</v>
      </c>
      <c r="E469" s="1">
        <f t="shared" si="21"/>
        <v>485.23808</v>
      </c>
      <c r="F469" s="1">
        <f t="shared" si="22"/>
        <v>502.26463</v>
      </c>
      <c r="G469" s="1">
        <f t="shared" si="23"/>
        <v>507.22002</v>
      </c>
      <c r="H469" s="1" t="s">
        <v>1194</v>
      </c>
    </row>
    <row r="470" spans="1:8">
      <c r="A470" s="1">
        <v>473</v>
      </c>
      <c r="B470" s="1" t="s">
        <v>1195</v>
      </c>
      <c r="C470" s="1" t="s">
        <v>444</v>
      </c>
      <c r="D470" s="1">
        <v>526.2414</v>
      </c>
      <c r="E470" s="1">
        <f t="shared" si="21"/>
        <v>527.24868</v>
      </c>
      <c r="F470" s="1">
        <f t="shared" si="22"/>
        <v>544.27523</v>
      </c>
      <c r="G470" s="1">
        <f t="shared" si="23"/>
        <v>549.23062</v>
      </c>
      <c r="H470" s="1" t="s">
        <v>1196</v>
      </c>
    </row>
    <row r="471" spans="1:8">
      <c r="A471" s="1">
        <v>474</v>
      </c>
      <c r="B471" s="1" t="s">
        <v>1197</v>
      </c>
      <c r="C471" s="1" t="s">
        <v>74</v>
      </c>
      <c r="D471" s="1">
        <v>630.2676</v>
      </c>
      <c r="E471" s="1">
        <f t="shared" si="21"/>
        <v>631.27488</v>
      </c>
      <c r="F471" s="1">
        <f t="shared" si="22"/>
        <v>648.30143</v>
      </c>
      <c r="G471" s="1">
        <f t="shared" si="23"/>
        <v>653.25682</v>
      </c>
      <c r="H471" s="1" t="s">
        <v>1198</v>
      </c>
    </row>
    <row r="472" spans="1:8">
      <c r="A472" s="1">
        <v>475</v>
      </c>
      <c r="B472" s="1" t="s">
        <v>1199</v>
      </c>
      <c r="C472" s="1" t="s">
        <v>74</v>
      </c>
      <c r="D472" s="1">
        <v>630.2676</v>
      </c>
      <c r="E472" s="1">
        <f t="shared" si="21"/>
        <v>631.27488</v>
      </c>
      <c r="F472" s="1">
        <f t="shared" si="22"/>
        <v>648.30143</v>
      </c>
      <c r="G472" s="1">
        <f t="shared" si="23"/>
        <v>653.25682</v>
      </c>
      <c r="H472" s="1" t="s">
        <v>1200</v>
      </c>
    </row>
    <row r="473" spans="1:8">
      <c r="A473" s="1">
        <v>476</v>
      </c>
      <c r="B473" s="1" t="s">
        <v>1201</v>
      </c>
      <c r="C473" s="1" t="s">
        <v>1068</v>
      </c>
      <c r="D473" s="1">
        <v>546.2465</v>
      </c>
      <c r="E473" s="1">
        <f t="shared" si="21"/>
        <v>547.25378</v>
      </c>
      <c r="F473" s="1">
        <f t="shared" si="22"/>
        <v>564.28033</v>
      </c>
      <c r="G473" s="1">
        <f t="shared" si="23"/>
        <v>569.23572</v>
      </c>
      <c r="H473" s="1" t="s">
        <v>1202</v>
      </c>
    </row>
    <row r="474" spans="1:8">
      <c r="A474" s="1">
        <v>477</v>
      </c>
      <c r="B474" s="1" t="s">
        <v>1203</v>
      </c>
      <c r="C474" s="1" t="s">
        <v>74</v>
      </c>
      <c r="D474" s="1">
        <v>630.2676</v>
      </c>
      <c r="E474" s="1">
        <f t="shared" si="21"/>
        <v>631.27488</v>
      </c>
      <c r="F474" s="1">
        <f t="shared" si="22"/>
        <v>648.30143</v>
      </c>
      <c r="G474" s="1">
        <f t="shared" si="23"/>
        <v>653.25682</v>
      </c>
      <c r="H474" s="1" t="s">
        <v>1204</v>
      </c>
    </row>
    <row r="475" spans="1:8">
      <c r="A475" s="1">
        <v>478</v>
      </c>
      <c r="B475" s="1" t="s">
        <v>1205</v>
      </c>
      <c r="C475" s="1" t="s">
        <v>563</v>
      </c>
      <c r="D475" s="1">
        <v>714.2888</v>
      </c>
      <c r="E475" s="1">
        <f t="shared" si="21"/>
        <v>715.29608</v>
      </c>
      <c r="F475" s="1">
        <f t="shared" si="22"/>
        <v>732.32263</v>
      </c>
      <c r="G475" s="1">
        <f t="shared" si="23"/>
        <v>737.27802</v>
      </c>
      <c r="H475" s="1" t="s">
        <v>1206</v>
      </c>
    </row>
    <row r="476" spans="1:8">
      <c r="A476" s="1">
        <v>479</v>
      </c>
      <c r="B476" s="1" t="s">
        <v>1207</v>
      </c>
      <c r="C476" s="1" t="s">
        <v>37</v>
      </c>
      <c r="D476" s="1">
        <v>610.2625</v>
      </c>
      <c r="E476" s="1">
        <f t="shared" si="21"/>
        <v>611.26978</v>
      </c>
      <c r="F476" s="1">
        <f t="shared" si="22"/>
        <v>628.29633</v>
      </c>
      <c r="G476" s="1">
        <f t="shared" si="23"/>
        <v>633.25172</v>
      </c>
      <c r="H476" s="1" t="s">
        <v>1208</v>
      </c>
    </row>
    <row r="477" spans="1:8">
      <c r="A477" s="1">
        <v>480</v>
      </c>
      <c r="B477" s="1" t="s">
        <v>1209</v>
      </c>
      <c r="C477" s="1" t="s">
        <v>74</v>
      </c>
      <c r="D477" s="1">
        <v>630.2676</v>
      </c>
      <c r="E477" s="1">
        <f t="shared" si="21"/>
        <v>631.27488</v>
      </c>
      <c r="F477" s="1">
        <f t="shared" si="22"/>
        <v>648.30143</v>
      </c>
      <c r="G477" s="1">
        <f t="shared" si="23"/>
        <v>653.25682</v>
      </c>
      <c r="H477" s="1" t="s">
        <v>1210</v>
      </c>
    </row>
    <row r="478" spans="1:8">
      <c r="A478" s="1">
        <v>481</v>
      </c>
      <c r="B478" s="1" t="s">
        <v>1211</v>
      </c>
      <c r="C478" s="1" t="s">
        <v>74</v>
      </c>
      <c r="D478" s="1">
        <v>630.2676</v>
      </c>
      <c r="E478" s="1">
        <f t="shared" si="21"/>
        <v>631.27488</v>
      </c>
      <c r="F478" s="1">
        <f t="shared" si="22"/>
        <v>648.30143</v>
      </c>
      <c r="G478" s="1">
        <f t="shared" si="23"/>
        <v>653.25682</v>
      </c>
      <c r="H478" s="1" t="s">
        <v>1212</v>
      </c>
    </row>
    <row r="479" spans="1:8">
      <c r="A479" s="1">
        <v>482</v>
      </c>
      <c r="B479" s="1" t="s">
        <v>1213</v>
      </c>
      <c r="C479" s="1" t="s">
        <v>1001</v>
      </c>
      <c r="D479" s="1">
        <v>508.2308</v>
      </c>
      <c r="E479" s="1">
        <f t="shared" si="21"/>
        <v>509.23808</v>
      </c>
      <c r="F479" s="1">
        <f t="shared" si="22"/>
        <v>526.26463</v>
      </c>
      <c r="G479" s="1">
        <f t="shared" si="23"/>
        <v>531.22002</v>
      </c>
      <c r="H479" s="1" t="s">
        <v>1214</v>
      </c>
    </row>
    <row r="480" spans="1:8">
      <c r="A480" s="1">
        <v>483</v>
      </c>
      <c r="B480" s="1" t="s">
        <v>1215</v>
      </c>
      <c r="C480" s="1" t="s">
        <v>1216</v>
      </c>
      <c r="D480" s="1">
        <v>550.2414</v>
      </c>
      <c r="E480" s="1">
        <f t="shared" si="21"/>
        <v>551.24868</v>
      </c>
      <c r="F480" s="1">
        <f t="shared" si="22"/>
        <v>568.27523</v>
      </c>
      <c r="G480" s="1">
        <f t="shared" si="23"/>
        <v>573.23062</v>
      </c>
      <c r="H480" s="1" t="s">
        <v>1217</v>
      </c>
    </row>
    <row r="481" spans="1:8">
      <c r="A481" s="1">
        <v>484</v>
      </c>
      <c r="B481" s="1" t="s">
        <v>1218</v>
      </c>
      <c r="C481" s="1" t="s">
        <v>1219</v>
      </c>
      <c r="D481" s="1">
        <v>466.2203</v>
      </c>
      <c r="E481" s="1">
        <f t="shared" si="21"/>
        <v>467.22758</v>
      </c>
      <c r="F481" s="1">
        <f t="shared" si="22"/>
        <v>484.25413</v>
      </c>
      <c r="G481" s="1">
        <f t="shared" si="23"/>
        <v>489.20952</v>
      </c>
      <c r="H481" s="1" t="s">
        <v>1220</v>
      </c>
    </row>
    <row r="482" spans="1:8">
      <c r="A482" s="1">
        <v>485</v>
      </c>
      <c r="B482" s="1" t="s">
        <v>1221</v>
      </c>
      <c r="C482" s="1" t="s">
        <v>1222</v>
      </c>
      <c r="D482" s="1">
        <v>502.2203</v>
      </c>
      <c r="E482" s="1">
        <f t="shared" si="21"/>
        <v>503.22758</v>
      </c>
      <c r="F482" s="1">
        <f t="shared" si="22"/>
        <v>520.25413</v>
      </c>
      <c r="G482" s="1">
        <f t="shared" si="23"/>
        <v>525.20952</v>
      </c>
      <c r="H482" s="1" t="s">
        <v>1223</v>
      </c>
    </row>
    <row r="483" spans="1:8">
      <c r="A483" s="1">
        <v>486</v>
      </c>
      <c r="B483" s="1" t="s">
        <v>1224</v>
      </c>
      <c r="C483" s="1" t="s">
        <v>535</v>
      </c>
      <c r="D483" s="1">
        <v>544.2308</v>
      </c>
      <c r="E483" s="1">
        <f t="shared" si="21"/>
        <v>545.23808</v>
      </c>
      <c r="F483" s="1">
        <f t="shared" si="22"/>
        <v>562.26463</v>
      </c>
      <c r="G483" s="1">
        <f t="shared" si="23"/>
        <v>567.22002</v>
      </c>
      <c r="H483" s="1" t="s">
        <v>1225</v>
      </c>
    </row>
    <row r="484" spans="1:8">
      <c r="A484" s="1">
        <v>487</v>
      </c>
      <c r="B484" s="1" t="s">
        <v>1226</v>
      </c>
      <c r="C484" s="1" t="s">
        <v>1222</v>
      </c>
      <c r="D484" s="1">
        <v>502.2203</v>
      </c>
      <c r="E484" s="1">
        <f t="shared" si="21"/>
        <v>503.22758</v>
      </c>
      <c r="F484" s="1">
        <f t="shared" si="22"/>
        <v>520.25413</v>
      </c>
      <c r="G484" s="1">
        <f t="shared" si="23"/>
        <v>525.20952</v>
      </c>
      <c r="H484" s="1" t="s">
        <v>1227</v>
      </c>
    </row>
    <row r="485" spans="1:8">
      <c r="A485" s="1">
        <v>488</v>
      </c>
      <c r="B485" s="1" t="s">
        <v>1228</v>
      </c>
      <c r="C485" s="1" t="s">
        <v>535</v>
      </c>
      <c r="D485" s="1">
        <v>544.2308</v>
      </c>
      <c r="E485" s="1">
        <f t="shared" si="21"/>
        <v>545.23808</v>
      </c>
      <c r="F485" s="1">
        <f t="shared" si="22"/>
        <v>562.26463</v>
      </c>
      <c r="G485" s="1">
        <f t="shared" si="23"/>
        <v>567.22002</v>
      </c>
      <c r="H485" s="1" t="s">
        <v>1229</v>
      </c>
    </row>
    <row r="486" spans="1:8">
      <c r="A486" s="1">
        <v>489</v>
      </c>
      <c r="B486" s="1" t="s">
        <v>1230</v>
      </c>
      <c r="C486" s="1" t="s">
        <v>617</v>
      </c>
      <c r="D486" s="1">
        <v>560.2258</v>
      </c>
      <c r="E486" s="1">
        <f t="shared" si="21"/>
        <v>561.23308</v>
      </c>
      <c r="F486" s="1">
        <f t="shared" si="22"/>
        <v>578.25963</v>
      </c>
      <c r="G486" s="1">
        <f t="shared" si="23"/>
        <v>583.21502</v>
      </c>
      <c r="H486" s="1" t="s">
        <v>1231</v>
      </c>
    </row>
    <row r="487" spans="1:8">
      <c r="A487" s="1">
        <v>490</v>
      </c>
      <c r="B487" s="1" t="s">
        <v>1232</v>
      </c>
      <c r="C487" s="1" t="s">
        <v>617</v>
      </c>
      <c r="D487" s="1">
        <v>560.2258</v>
      </c>
      <c r="E487" s="1">
        <f t="shared" si="21"/>
        <v>561.23308</v>
      </c>
      <c r="F487" s="1">
        <f t="shared" si="22"/>
        <v>578.25963</v>
      </c>
      <c r="G487" s="1">
        <f t="shared" si="23"/>
        <v>583.21502</v>
      </c>
      <c r="H487" s="1" t="s">
        <v>1233</v>
      </c>
    </row>
    <row r="488" spans="1:8">
      <c r="A488" s="1">
        <v>491</v>
      </c>
      <c r="B488" s="1" t="s">
        <v>1234</v>
      </c>
      <c r="C488" s="1" t="s">
        <v>1235</v>
      </c>
      <c r="D488" s="1">
        <v>526.2203</v>
      </c>
      <c r="E488" s="1">
        <f t="shared" si="21"/>
        <v>527.22758</v>
      </c>
      <c r="F488" s="1">
        <f t="shared" si="22"/>
        <v>544.25413</v>
      </c>
      <c r="G488" s="1">
        <f t="shared" si="23"/>
        <v>549.20952</v>
      </c>
      <c r="H488" s="1" t="s">
        <v>1236</v>
      </c>
    </row>
    <row r="489" spans="1:8">
      <c r="A489" s="1">
        <v>492</v>
      </c>
      <c r="B489" s="1" t="s">
        <v>1237</v>
      </c>
      <c r="C489" s="1" t="s">
        <v>546</v>
      </c>
      <c r="D489" s="1">
        <v>542.2152</v>
      </c>
      <c r="E489" s="1">
        <f t="shared" si="21"/>
        <v>543.22248</v>
      </c>
      <c r="F489" s="1">
        <f t="shared" si="22"/>
        <v>560.24903</v>
      </c>
      <c r="G489" s="1">
        <f t="shared" si="23"/>
        <v>565.20442</v>
      </c>
      <c r="H489" s="1" t="s">
        <v>1238</v>
      </c>
    </row>
    <row r="490" spans="1:8">
      <c r="A490" s="1">
        <v>493</v>
      </c>
      <c r="B490" s="1" t="s">
        <v>1239</v>
      </c>
      <c r="C490" s="1" t="s">
        <v>553</v>
      </c>
      <c r="D490" s="4">
        <v>584.2258</v>
      </c>
      <c r="E490" s="4">
        <f t="shared" si="21"/>
        <v>585.23308</v>
      </c>
      <c r="F490" s="4">
        <f t="shared" si="22"/>
        <v>602.25963</v>
      </c>
      <c r="G490" s="1">
        <f t="shared" si="23"/>
        <v>607.21502</v>
      </c>
      <c r="H490" s="1" t="s">
        <v>1240</v>
      </c>
    </row>
    <row r="491" spans="1:8">
      <c r="A491" s="1">
        <v>494</v>
      </c>
      <c r="B491" s="1" t="s">
        <v>1241</v>
      </c>
      <c r="C491" s="1" t="s">
        <v>1242</v>
      </c>
      <c r="D491" s="1">
        <v>540.1995</v>
      </c>
      <c r="E491" s="1">
        <f t="shared" si="21"/>
        <v>541.20678</v>
      </c>
      <c r="F491" s="1">
        <f t="shared" si="22"/>
        <v>558.23333</v>
      </c>
      <c r="G491" s="1">
        <f t="shared" si="23"/>
        <v>563.18872</v>
      </c>
      <c r="H491" s="1" t="s">
        <v>1243</v>
      </c>
    </row>
    <row r="492" spans="1:8">
      <c r="A492" s="1">
        <v>495</v>
      </c>
      <c r="B492" s="1" t="s">
        <v>1244</v>
      </c>
      <c r="C492" s="1" t="s">
        <v>1245</v>
      </c>
      <c r="D492" s="1">
        <v>600.2571</v>
      </c>
      <c r="E492" s="1">
        <f t="shared" si="21"/>
        <v>601.26438</v>
      </c>
      <c r="F492" s="1">
        <f t="shared" si="22"/>
        <v>618.29093</v>
      </c>
      <c r="G492" s="1">
        <f t="shared" si="23"/>
        <v>623.24632</v>
      </c>
      <c r="H492" s="1" t="s">
        <v>1246</v>
      </c>
    </row>
    <row r="493" spans="1:8">
      <c r="A493" s="1">
        <v>496</v>
      </c>
      <c r="B493" s="1" t="s">
        <v>1247</v>
      </c>
      <c r="C493" s="1" t="s">
        <v>535</v>
      </c>
      <c r="D493" s="1">
        <v>544.2308</v>
      </c>
      <c r="E493" s="1">
        <f t="shared" si="21"/>
        <v>545.23808</v>
      </c>
      <c r="F493" s="1">
        <f t="shared" si="22"/>
        <v>562.26463</v>
      </c>
      <c r="G493" s="1">
        <f t="shared" si="23"/>
        <v>567.22002</v>
      </c>
      <c r="H493" s="1" t="s">
        <v>1248</v>
      </c>
    </row>
    <row r="494" spans="1:8">
      <c r="A494" s="1">
        <v>497</v>
      </c>
      <c r="B494" s="1" t="s">
        <v>1249</v>
      </c>
      <c r="C494" s="1" t="s">
        <v>1250</v>
      </c>
      <c r="D494" s="1">
        <v>558.2101</v>
      </c>
      <c r="E494" s="1">
        <f t="shared" si="21"/>
        <v>559.21738</v>
      </c>
      <c r="F494" s="1">
        <f t="shared" si="22"/>
        <v>576.24393</v>
      </c>
      <c r="G494" s="1">
        <f t="shared" si="23"/>
        <v>581.19932</v>
      </c>
      <c r="H494" s="1" t="s">
        <v>1251</v>
      </c>
    </row>
    <row r="495" spans="1:8">
      <c r="A495" s="1">
        <v>498</v>
      </c>
      <c r="B495" s="1" t="s">
        <v>1252</v>
      </c>
      <c r="C495" s="1" t="s">
        <v>123</v>
      </c>
      <c r="D495" s="1">
        <v>450.2254</v>
      </c>
      <c r="E495" s="1">
        <f t="shared" si="21"/>
        <v>451.23268</v>
      </c>
      <c r="F495" s="1">
        <f t="shared" si="22"/>
        <v>468.25923</v>
      </c>
      <c r="G495" s="1">
        <f t="shared" si="23"/>
        <v>473.21462</v>
      </c>
      <c r="H495" s="1" t="s">
        <v>1253</v>
      </c>
    </row>
    <row r="496" spans="1:8">
      <c r="A496" s="1">
        <v>499</v>
      </c>
      <c r="B496" s="1" t="s">
        <v>1254</v>
      </c>
      <c r="C496" s="1" t="s">
        <v>123</v>
      </c>
      <c r="D496" s="1">
        <v>450.2254</v>
      </c>
      <c r="E496" s="1">
        <f t="shared" si="21"/>
        <v>451.23268</v>
      </c>
      <c r="F496" s="1">
        <f t="shared" si="22"/>
        <v>468.25923</v>
      </c>
      <c r="G496" s="1">
        <f t="shared" si="23"/>
        <v>473.21462</v>
      </c>
      <c r="H496" s="1" t="s">
        <v>1255</v>
      </c>
    </row>
    <row r="497" spans="1:8">
      <c r="A497" s="1">
        <v>500</v>
      </c>
      <c r="B497" s="1" t="s">
        <v>1256</v>
      </c>
      <c r="C497" s="1" t="s">
        <v>126</v>
      </c>
      <c r="D497" s="1">
        <v>492.2359</v>
      </c>
      <c r="E497" s="1">
        <f t="shared" si="21"/>
        <v>493.24318</v>
      </c>
      <c r="F497" s="1">
        <f t="shared" si="22"/>
        <v>510.26973</v>
      </c>
      <c r="G497" s="1">
        <f t="shared" si="23"/>
        <v>515.22512</v>
      </c>
      <c r="H497" s="1" t="s">
        <v>1257</v>
      </c>
    </row>
    <row r="498" spans="1:8">
      <c r="A498" s="1">
        <v>501</v>
      </c>
      <c r="B498" s="1" t="s">
        <v>1258</v>
      </c>
      <c r="C498" s="1" t="s">
        <v>227</v>
      </c>
      <c r="D498" s="1">
        <v>538.2567</v>
      </c>
      <c r="E498" s="1">
        <f t="shared" si="21"/>
        <v>539.26398</v>
      </c>
      <c r="F498" s="1">
        <f t="shared" si="22"/>
        <v>556.29053</v>
      </c>
      <c r="G498" s="1">
        <f t="shared" si="23"/>
        <v>561.24592</v>
      </c>
      <c r="H498" s="1" t="s">
        <v>1259</v>
      </c>
    </row>
    <row r="499" spans="1:8">
      <c r="A499" s="1">
        <v>502</v>
      </c>
      <c r="B499" s="1" t="s">
        <v>1260</v>
      </c>
      <c r="C499" s="1" t="s">
        <v>230</v>
      </c>
      <c r="D499" s="1">
        <v>580.2672</v>
      </c>
      <c r="E499" s="1">
        <f t="shared" si="21"/>
        <v>581.27448</v>
      </c>
      <c r="F499" s="1">
        <f t="shared" si="22"/>
        <v>598.30103</v>
      </c>
      <c r="G499" s="1">
        <f t="shared" si="23"/>
        <v>603.25642</v>
      </c>
      <c r="H499" s="1" t="s">
        <v>1261</v>
      </c>
    </row>
    <row r="500" spans="1:8">
      <c r="A500" s="1">
        <v>503</v>
      </c>
      <c r="B500" s="1" t="s">
        <v>1262</v>
      </c>
      <c r="C500" s="1" t="s">
        <v>230</v>
      </c>
      <c r="D500" s="1">
        <v>580.2672</v>
      </c>
      <c r="E500" s="1">
        <f t="shared" si="21"/>
        <v>581.27448</v>
      </c>
      <c r="F500" s="1">
        <f t="shared" si="22"/>
        <v>598.30103</v>
      </c>
      <c r="G500" s="1">
        <f t="shared" si="23"/>
        <v>603.25642</v>
      </c>
      <c r="H500" s="1" t="s">
        <v>1263</v>
      </c>
    </row>
    <row r="501" spans="1:8">
      <c r="A501" s="1">
        <v>504</v>
      </c>
      <c r="B501" s="1" t="s">
        <v>1264</v>
      </c>
      <c r="C501" s="1" t="s">
        <v>233</v>
      </c>
      <c r="D501" s="1">
        <v>622.2778</v>
      </c>
      <c r="E501" s="1">
        <f t="shared" si="21"/>
        <v>623.28508</v>
      </c>
      <c r="F501" s="1">
        <f t="shared" si="22"/>
        <v>640.31163</v>
      </c>
      <c r="G501" s="1">
        <f t="shared" si="23"/>
        <v>645.26702</v>
      </c>
      <c r="H501" s="1" t="s">
        <v>1265</v>
      </c>
    </row>
    <row r="502" spans="1:8">
      <c r="A502" s="1">
        <v>505</v>
      </c>
      <c r="B502" s="1" t="s">
        <v>1266</v>
      </c>
      <c r="C502" s="1" t="s">
        <v>1267</v>
      </c>
      <c r="D502" s="1">
        <v>599.3094</v>
      </c>
      <c r="E502" s="1">
        <f t="shared" si="21"/>
        <v>600.31668</v>
      </c>
      <c r="F502" s="1">
        <f t="shared" si="22"/>
        <v>617.34323</v>
      </c>
      <c r="G502" s="1">
        <f t="shared" si="23"/>
        <v>622.29862</v>
      </c>
      <c r="H502" s="1" t="s">
        <v>1268</v>
      </c>
    </row>
    <row r="503" spans="1:8">
      <c r="A503" s="1">
        <v>506</v>
      </c>
      <c r="B503" s="1" t="s">
        <v>1269</v>
      </c>
      <c r="C503" s="1" t="s">
        <v>884</v>
      </c>
      <c r="D503" s="1">
        <v>683.3306</v>
      </c>
      <c r="E503" s="1">
        <f t="shared" si="21"/>
        <v>684.33788</v>
      </c>
      <c r="F503" s="1">
        <f t="shared" si="22"/>
        <v>701.36443</v>
      </c>
      <c r="G503" s="1">
        <f t="shared" si="23"/>
        <v>706.31982</v>
      </c>
      <c r="H503" s="1" t="s">
        <v>1270</v>
      </c>
    </row>
    <row r="504" spans="1:8">
      <c r="A504" s="1">
        <v>507</v>
      </c>
      <c r="B504" s="1" t="s">
        <v>1271</v>
      </c>
      <c r="C504" s="1" t="s">
        <v>123</v>
      </c>
      <c r="D504" s="1">
        <v>450.2254</v>
      </c>
      <c r="E504" s="1">
        <f t="shared" si="21"/>
        <v>451.23268</v>
      </c>
      <c r="F504" s="1">
        <f t="shared" si="22"/>
        <v>468.25923</v>
      </c>
      <c r="G504" s="1">
        <f t="shared" si="23"/>
        <v>473.21462</v>
      </c>
      <c r="H504" s="4" t="s">
        <v>1272</v>
      </c>
    </row>
    <row r="505" spans="1:8">
      <c r="A505" s="1">
        <v>508</v>
      </c>
      <c r="B505" s="1" t="s">
        <v>1273</v>
      </c>
      <c r="C505" s="1" t="s">
        <v>1274</v>
      </c>
      <c r="D505" s="1">
        <v>492.2359</v>
      </c>
      <c r="E505" s="1">
        <f t="shared" si="21"/>
        <v>493.24318</v>
      </c>
      <c r="F505" s="1">
        <f t="shared" si="22"/>
        <v>510.26973</v>
      </c>
      <c r="G505" s="1">
        <f t="shared" si="23"/>
        <v>515.22512</v>
      </c>
      <c r="H505" s="1" t="s">
        <v>1275</v>
      </c>
    </row>
    <row r="506" spans="1:8">
      <c r="A506" s="1">
        <v>509</v>
      </c>
      <c r="B506" s="1" t="s">
        <v>1276</v>
      </c>
      <c r="C506" s="1" t="s">
        <v>123</v>
      </c>
      <c r="D506" s="1">
        <v>450.2254</v>
      </c>
      <c r="E506" s="1">
        <f t="shared" si="21"/>
        <v>451.23268</v>
      </c>
      <c r="F506" s="1">
        <f t="shared" si="22"/>
        <v>468.25923</v>
      </c>
      <c r="G506" s="1">
        <f t="shared" si="23"/>
        <v>473.21462</v>
      </c>
      <c r="H506" s="1" t="s">
        <v>1277</v>
      </c>
    </row>
    <row r="507" spans="1:8">
      <c r="A507" s="1">
        <v>510</v>
      </c>
      <c r="B507" s="1" t="s">
        <v>1278</v>
      </c>
      <c r="C507" s="1" t="s">
        <v>126</v>
      </c>
      <c r="D507" s="1">
        <v>492.2359</v>
      </c>
      <c r="E507" s="1">
        <f t="shared" si="21"/>
        <v>493.24318</v>
      </c>
      <c r="F507" s="1">
        <f t="shared" si="22"/>
        <v>510.26973</v>
      </c>
      <c r="G507" s="1">
        <f t="shared" si="23"/>
        <v>515.22512</v>
      </c>
      <c r="H507" s="1" t="s">
        <v>1279</v>
      </c>
    </row>
    <row r="508" spans="1:8">
      <c r="A508" s="1">
        <v>511</v>
      </c>
      <c r="B508" s="1" t="s">
        <v>1280</v>
      </c>
      <c r="C508" s="1" t="s">
        <v>1281</v>
      </c>
      <c r="D508" s="1">
        <v>492.2359</v>
      </c>
      <c r="E508" s="1">
        <f t="shared" si="21"/>
        <v>493.24318</v>
      </c>
      <c r="F508" s="1">
        <f t="shared" si="22"/>
        <v>510.26973</v>
      </c>
      <c r="G508" s="1">
        <f t="shared" si="23"/>
        <v>515.22512</v>
      </c>
      <c r="H508" s="1" t="s">
        <v>1282</v>
      </c>
    </row>
    <row r="509" spans="1:8">
      <c r="A509" s="1">
        <v>512</v>
      </c>
      <c r="B509" s="1" t="s">
        <v>1283</v>
      </c>
      <c r="C509" s="1" t="s">
        <v>131</v>
      </c>
      <c r="D509" s="1">
        <v>534.2465</v>
      </c>
      <c r="E509" s="1">
        <f t="shared" si="21"/>
        <v>535.25378</v>
      </c>
      <c r="F509" s="1">
        <f t="shared" si="22"/>
        <v>552.28033</v>
      </c>
      <c r="G509" s="1">
        <f t="shared" si="23"/>
        <v>557.23572</v>
      </c>
      <c r="H509" s="1" t="s">
        <v>1284</v>
      </c>
    </row>
    <row r="510" spans="1:8">
      <c r="A510" s="1">
        <v>513</v>
      </c>
      <c r="B510" s="1" t="s">
        <v>1285</v>
      </c>
      <c r="C510" s="1" t="s">
        <v>1286</v>
      </c>
      <c r="D510" s="1">
        <v>490.2203</v>
      </c>
      <c r="E510" s="1">
        <f t="shared" si="21"/>
        <v>491.22758</v>
      </c>
      <c r="F510" s="1">
        <f t="shared" si="22"/>
        <v>508.25413</v>
      </c>
      <c r="G510" s="1">
        <f t="shared" si="23"/>
        <v>513.20952</v>
      </c>
      <c r="H510" s="1" t="s">
        <v>1287</v>
      </c>
    </row>
    <row r="511" spans="1:8">
      <c r="A511" s="1">
        <v>514</v>
      </c>
      <c r="B511" s="1" t="s">
        <v>1288</v>
      </c>
      <c r="C511" s="1" t="s">
        <v>126</v>
      </c>
      <c r="D511" s="1">
        <v>492.2359</v>
      </c>
      <c r="E511" s="1">
        <f t="shared" si="21"/>
        <v>493.24318</v>
      </c>
      <c r="F511" s="1">
        <f t="shared" si="22"/>
        <v>510.26973</v>
      </c>
      <c r="G511" s="1">
        <f t="shared" si="23"/>
        <v>515.22512</v>
      </c>
      <c r="H511" s="1" t="s">
        <v>1289</v>
      </c>
    </row>
    <row r="512" spans="1:8">
      <c r="A512" s="1">
        <v>515</v>
      </c>
      <c r="B512" s="1" t="s">
        <v>1290</v>
      </c>
      <c r="C512" s="1" t="s">
        <v>126</v>
      </c>
      <c r="D512" s="4">
        <v>492.2359</v>
      </c>
      <c r="E512" s="4">
        <f t="shared" si="21"/>
        <v>493.24318</v>
      </c>
      <c r="F512" s="4">
        <f t="shared" si="22"/>
        <v>510.26973</v>
      </c>
      <c r="G512" s="1">
        <f t="shared" si="23"/>
        <v>515.22512</v>
      </c>
      <c r="H512" s="1" t="s">
        <v>1291</v>
      </c>
    </row>
    <row r="513" spans="1:8">
      <c r="A513" s="1">
        <v>516</v>
      </c>
      <c r="B513" s="1" t="s">
        <v>1292</v>
      </c>
      <c r="C513" s="1" t="s">
        <v>131</v>
      </c>
      <c r="D513" s="1">
        <v>534.2465</v>
      </c>
      <c r="E513" s="1">
        <f t="shared" si="21"/>
        <v>535.25378</v>
      </c>
      <c r="F513" s="1">
        <f t="shared" si="22"/>
        <v>552.28033</v>
      </c>
      <c r="G513" s="1">
        <f t="shared" si="23"/>
        <v>557.23572</v>
      </c>
      <c r="H513" s="1" t="s">
        <v>1293</v>
      </c>
    </row>
    <row r="514" spans="1:8">
      <c r="A514" s="1">
        <v>517</v>
      </c>
      <c r="B514" s="1" t="s">
        <v>1294</v>
      </c>
      <c r="C514" s="1" t="s">
        <v>205</v>
      </c>
      <c r="D514" s="1">
        <v>606.2829</v>
      </c>
      <c r="E514" s="1">
        <f t="shared" si="21"/>
        <v>607.29018</v>
      </c>
      <c r="F514" s="1">
        <f t="shared" si="22"/>
        <v>624.31673</v>
      </c>
      <c r="G514" s="1">
        <f t="shared" si="23"/>
        <v>629.27212</v>
      </c>
      <c r="H514" s="1" t="s">
        <v>1295</v>
      </c>
    </row>
    <row r="515" spans="1:8">
      <c r="A515" s="1">
        <v>518</v>
      </c>
      <c r="B515" s="1" t="s">
        <v>1296</v>
      </c>
      <c r="C515" s="1" t="s">
        <v>230</v>
      </c>
      <c r="D515" s="1">
        <v>580.2672</v>
      </c>
      <c r="E515" s="1">
        <f t="shared" ref="E515:E578" si="24">D515+1.00728</f>
        <v>581.27448</v>
      </c>
      <c r="F515" s="1">
        <f t="shared" ref="F515:F578" si="25">D515+18.03383</f>
        <v>598.30103</v>
      </c>
      <c r="G515" s="1">
        <f t="shared" ref="G515:G578" si="26">D515+22.98922</f>
        <v>603.25642</v>
      </c>
      <c r="H515" s="1" t="s">
        <v>1297</v>
      </c>
    </row>
    <row r="516" spans="1:8">
      <c r="A516" s="1">
        <v>519</v>
      </c>
      <c r="B516" s="1" t="s">
        <v>1298</v>
      </c>
      <c r="C516" s="1" t="s">
        <v>233</v>
      </c>
      <c r="D516" s="1">
        <v>622.2778</v>
      </c>
      <c r="E516" s="1">
        <f t="shared" si="24"/>
        <v>623.28508</v>
      </c>
      <c r="F516" s="1">
        <f t="shared" si="25"/>
        <v>640.31163</v>
      </c>
      <c r="G516" s="1">
        <f t="shared" si="26"/>
        <v>645.26702</v>
      </c>
      <c r="H516" s="1" t="s">
        <v>1299</v>
      </c>
    </row>
    <row r="517" spans="1:8">
      <c r="A517" s="1">
        <v>520</v>
      </c>
      <c r="B517" s="1" t="s">
        <v>1300</v>
      </c>
      <c r="C517" s="1" t="s">
        <v>238</v>
      </c>
      <c r="D517" s="1">
        <v>664.2884</v>
      </c>
      <c r="E517" s="1">
        <f t="shared" si="24"/>
        <v>665.29568</v>
      </c>
      <c r="F517" s="1">
        <f t="shared" si="25"/>
        <v>682.32223</v>
      </c>
      <c r="G517" s="1">
        <f t="shared" si="26"/>
        <v>687.27762</v>
      </c>
      <c r="H517" s="1" t="s">
        <v>1301</v>
      </c>
    </row>
    <row r="518" spans="1:8">
      <c r="A518" s="1">
        <v>521</v>
      </c>
      <c r="B518" s="1" t="s">
        <v>1302</v>
      </c>
      <c r="C518" s="1" t="s">
        <v>1303</v>
      </c>
      <c r="D518" s="1">
        <v>620.2621</v>
      </c>
      <c r="E518" s="1">
        <f t="shared" si="24"/>
        <v>621.26938</v>
      </c>
      <c r="F518" s="1">
        <f t="shared" si="25"/>
        <v>638.29593</v>
      </c>
      <c r="G518" s="1">
        <f t="shared" si="26"/>
        <v>643.25132</v>
      </c>
      <c r="H518" s="1" t="s">
        <v>1304</v>
      </c>
    </row>
    <row r="519" spans="1:8">
      <c r="A519" s="1">
        <v>522</v>
      </c>
      <c r="B519" s="1" t="s">
        <v>1305</v>
      </c>
      <c r="C519" s="1" t="s">
        <v>339</v>
      </c>
      <c r="D519" s="1">
        <v>667.3356</v>
      </c>
      <c r="E519" s="1">
        <f t="shared" si="24"/>
        <v>668.34288</v>
      </c>
      <c r="F519" s="1">
        <f t="shared" si="25"/>
        <v>685.36943</v>
      </c>
      <c r="G519" s="1">
        <f t="shared" si="26"/>
        <v>690.32482</v>
      </c>
      <c r="H519" s="1" t="s">
        <v>1306</v>
      </c>
    </row>
    <row r="520" spans="1:11">
      <c r="A520" s="1">
        <v>523</v>
      </c>
      <c r="B520" s="1" t="s">
        <v>1307</v>
      </c>
      <c r="C520" s="1" t="s">
        <v>317</v>
      </c>
      <c r="D520" s="4">
        <v>641.32</v>
      </c>
      <c r="E520" s="4">
        <f t="shared" si="24"/>
        <v>642.32728</v>
      </c>
      <c r="F520" s="4">
        <f t="shared" si="25"/>
        <v>659.35383</v>
      </c>
      <c r="G520" s="1">
        <f t="shared" si="26"/>
        <v>664.30922</v>
      </c>
      <c r="H520" s="1" t="s">
        <v>1308</v>
      </c>
      <c r="K520" s="2" t="s">
        <v>1309</v>
      </c>
    </row>
    <row r="521" spans="1:8">
      <c r="A521" s="1">
        <v>524</v>
      </c>
      <c r="B521" s="1" t="s">
        <v>1310</v>
      </c>
      <c r="C521" s="1" t="s">
        <v>1311</v>
      </c>
      <c r="D521" s="1">
        <v>641.32</v>
      </c>
      <c r="E521" s="1">
        <f t="shared" si="24"/>
        <v>642.32728</v>
      </c>
      <c r="F521" s="1">
        <f t="shared" si="25"/>
        <v>659.35383</v>
      </c>
      <c r="G521" s="1">
        <f t="shared" si="26"/>
        <v>664.30922</v>
      </c>
      <c r="H521" s="1" t="s">
        <v>1312</v>
      </c>
    </row>
    <row r="522" spans="1:8">
      <c r="A522" s="1">
        <v>525</v>
      </c>
      <c r="B522" s="1" t="s">
        <v>1313</v>
      </c>
      <c r="C522" s="1" t="s">
        <v>1314</v>
      </c>
      <c r="D522" s="1">
        <v>683.3306</v>
      </c>
      <c r="E522" s="1">
        <f t="shared" si="24"/>
        <v>684.33788</v>
      </c>
      <c r="F522" s="1">
        <f t="shared" si="25"/>
        <v>701.36443</v>
      </c>
      <c r="G522" s="1">
        <f t="shared" si="26"/>
        <v>706.31982</v>
      </c>
      <c r="H522" s="1" t="s">
        <v>1315</v>
      </c>
    </row>
    <row r="523" spans="1:8">
      <c r="A523" s="1">
        <v>526</v>
      </c>
      <c r="B523" s="1" t="s">
        <v>1316</v>
      </c>
      <c r="C523" s="1" t="s">
        <v>342</v>
      </c>
      <c r="D523" s="1">
        <v>725.3411</v>
      </c>
      <c r="E523" s="1">
        <f t="shared" si="24"/>
        <v>726.34838</v>
      </c>
      <c r="F523" s="1">
        <f t="shared" si="25"/>
        <v>743.37493</v>
      </c>
      <c r="G523" s="1">
        <f t="shared" si="26"/>
        <v>748.33032</v>
      </c>
      <c r="H523" s="1" t="s">
        <v>1317</v>
      </c>
    </row>
    <row r="524" spans="1:8">
      <c r="A524" s="1">
        <v>527</v>
      </c>
      <c r="B524" s="1" t="s">
        <v>1318</v>
      </c>
      <c r="C524" s="1" t="s">
        <v>123</v>
      </c>
      <c r="D524" s="1">
        <v>450.2254</v>
      </c>
      <c r="E524" s="1">
        <f t="shared" si="24"/>
        <v>451.23268</v>
      </c>
      <c r="F524" s="1">
        <f t="shared" si="25"/>
        <v>468.25923</v>
      </c>
      <c r="G524" s="1">
        <f t="shared" si="26"/>
        <v>473.21462</v>
      </c>
      <c r="H524" s="4" t="s">
        <v>1319</v>
      </c>
    </row>
    <row r="525" spans="1:8">
      <c r="A525" s="1">
        <v>528</v>
      </c>
      <c r="B525" s="1" t="s">
        <v>1320</v>
      </c>
      <c r="C525" s="1" t="s">
        <v>1321</v>
      </c>
      <c r="D525" s="1">
        <v>472.2097</v>
      </c>
      <c r="E525" s="1">
        <f t="shared" si="24"/>
        <v>473.21698</v>
      </c>
      <c r="F525" s="1">
        <f t="shared" si="25"/>
        <v>490.24353</v>
      </c>
      <c r="G525" s="1">
        <f t="shared" si="26"/>
        <v>495.19892</v>
      </c>
      <c r="H525" s="1" t="s">
        <v>1322</v>
      </c>
    </row>
    <row r="526" spans="1:8">
      <c r="A526" s="1">
        <v>529</v>
      </c>
      <c r="B526" s="1" t="s">
        <v>1323</v>
      </c>
      <c r="C526" s="1" t="s">
        <v>1324</v>
      </c>
      <c r="D526" s="1">
        <v>430.1992</v>
      </c>
      <c r="E526" s="1">
        <f t="shared" si="24"/>
        <v>431.20648</v>
      </c>
      <c r="F526" s="1">
        <f t="shared" si="25"/>
        <v>448.23303</v>
      </c>
      <c r="G526" s="1">
        <f t="shared" si="26"/>
        <v>453.18842</v>
      </c>
      <c r="H526" s="1" t="s">
        <v>1325</v>
      </c>
    </row>
    <row r="527" spans="1:8">
      <c r="A527" s="1">
        <v>530</v>
      </c>
      <c r="B527" s="1" t="s">
        <v>1326</v>
      </c>
      <c r="C527" s="1" t="s">
        <v>1321</v>
      </c>
      <c r="D527" s="1">
        <v>472.2097</v>
      </c>
      <c r="E527" s="1">
        <f t="shared" si="24"/>
        <v>473.21698</v>
      </c>
      <c r="F527" s="1">
        <f t="shared" si="25"/>
        <v>490.24353</v>
      </c>
      <c r="G527" s="1">
        <f t="shared" si="26"/>
        <v>495.19892</v>
      </c>
      <c r="H527" s="1" t="s">
        <v>1327</v>
      </c>
    </row>
    <row r="528" spans="1:8">
      <c r="A528" s="1">
        <v>531</v>
      </c>
      <c r="B528" s="1" t="s">
        <v>1328</v>
      </c>
      <c r="C528" s="1" t="s">
        <v>1324</v>
      </c>
      <c r="D528" s="1">
        <v>430.1992</v>
      </c>
      <c r="E528" s="1">
        <f t="shared" si="24"/>
        <v>431.20648</v>
      </c>
      <c r="F528" s="1">
        <f t="shared" si="25"/>
        <v>448.23303</v>
      </c>
      <c r="G528" s="1">
        <f t="shared" si="26"/>
        <v>453.18842</v>
      </c>
      <c r="H528" s="1" t="s">
        <v>1329</v>
      </c>
    </row>
    <row r="529" spans="1:8">
      <c r="A529" s="1">
        <v>532</v>
      </c>
      <c r="B529" s="1" t="s">
        <v>1330</v>
      </c>
      <c r="C529" s="1" t="s">
        <v>919</v>
      </c>
      <c r="D529" s="1">
        <v>548.2774</v>
      </c>
      <c r="E529" s="1">
        <f t="shared" si="24"/>
        <v>549.28468</v>
      </c>
      <c r="F529" s="1">
        <f t="shared" si="25"/>
        <v>566.31123</v>
      </c>
      <c r="G529" s="1">
        <f t="shared" si="26"/>
        <v>571.26662</v>
      </c>
      <c r="H529" s="1" t="s">
        <v>1331</v>
      </c>
    </row>
    <row r="530" spans="1:8">
      <c r="A530" s="1">
        <v>533</v>
      </c>
      <c r="B530" s="1" t="s">
        <v>1332</v>
      </c>
      <c r="C530" s="1" t="s">
        <v>100</v>
      </c>
      <c r="D530" s="1">
        <v>392.2199</v>
      </c>
      <c r="E530" s="1">
        <f t="shared" si="24"/>
        <v>393.22718</v>
      </c>
      <c r="F530" s="1">
        <f t="shared" si="25"/>
        <v>410.25373</v>
      </c>
      <c r="G530" s="1">
        <f t="shared" si="26"/>
        <v>415.20912</v>
      </c>
      <c r="H530" s="4" t="s">
        <v>1333</v>
      </c>
    </row>
    <row r="531" spans="1:8">
      <c r="A531" s="1">
        <v>534</v>
      </c>
      <c r="B531" s="1" t="s">
        <v>1334</v>
      </c>
      <c r="C531" s="1" t="s">
        <v>208</v>
      </c>
      <c r="D531" s="1">
        <v>480.2512</v>
      </c>
      <c r="E531" s="1">
        <f t="shared" si="24"/>
        <v>481.25848</v>
      </c>
      <c r="F531" s="1">
        <f t="shared" si="25"/>
        <v>498.28503</v>
      </c>
      <c r="G531" s="1">
        <f t="shared" si="26"/>
        <v>503.24042</v>
      </c>
      <c r="H531" s="1" t="s">
        <v>1335</v>
      </c>
    </row>
    <row r="532" spans="1:8">
      <c r="A532" s="1">
        <v>535</v>
      </c>
      <c r="B532" s="1" t="s">
        <v>1336</v>
      </c>
      <c r="C532" s="1" t="s">
        <v>211</v>
      </c>
      <c r="D532" s="1">
        <v>522.2618</v>
      </c>
      <c r="E532" s="1">
        <f t="shared" si="24"/>
        <v>523.26908</v>
      </c>
      <c r="F532" s="1">
        <f t="shared" si="25"/>
        <v>540.29563</v>
      </c>
      <c r="G532" s="1">
        <f t="shared" si="26"/>
        <v>545.25102</v>
      </c>
      <c r="H532" s="1" t="s">
        <v>1337</v>
      </c>
    </row>
    <row r="533" spans="1:8">
      <c r="A533" s="1">
        <v>536</v>
      </c>
      <c r="B533" s="1" t="s">
        <v>1338</v>
      </c>
      <c r="C533" s="1" t="s">
        <v>167</v>
      </c>
      <c r="D533" s="1">
        <v>566.288</v>
      </c>
      <c r="E533" s="1">
        <f t="shared" si="24"/>
        <v>567.29528</v>
      </c>
      <c r="F533" s="1">
        <f t="shared" si="25"/>
        <v>584.32183</v>
      </c>
      <c r="G533" s="1">
        <f t="shared" si="26"/>
        <v>589.27722</v>
      </c>
      <c r="H533" s="1" t="s">
        <v>1339</v>
      </c>
    </row>
    <row r="534" spans="1:8">
      <c r="A534" s="1">
        <v>537</v>
      </c>
      <c r="B534" s="1" t="s">
        <v>1340</v>
      </c>
      <c r="C534" s="1" t="s">
        <v>100</v>
      </c>
      <c r="D534" s="1">
        <v>392.2199</v>
      </c>
      <c r="E534" s="1">
        <f t="shared" si="24"/>
        <v>393.22718</v>
      </c>
      <c r="F534" s="1">
        <f t="shared" si="25"/>
        <v>410.25373</v>
      </c>
      <c r="G534" s="1">
        <f t="shared" si="26"/>
        <v>415.20912</v>
      </c>
      <c r="H534" s="1" t="s">
        <v>1341</v>
      </c>
    </row>
    <row r="535" spans="1:8">
      <c r="A535" s="1">
        <v>538</v>
      </c>
      <c r="B535" s="1" t="s">
        <v>1342</v>
      </c>
      <c r="C535" s="1" t="s">
        <v>108</v>
      </c>
      <c r="D535" s="1">
        <v>476.241</v>
      </c>
      <c r="E535" s="1">
        <f t="shared" si="24"/>
        <v>477.24828</v>
      </c>
      <c r="F535" s="1">
        <f t="shared" si="25"/>
        <v>494.27483</v>
      </c>
      <c r="G535" s="1">
        <f t="shared" si="26"/>
        <v>499.23022</v>
      </c>
      <c r="H535" s="1" t="s">
        <v>1343</v>
      </c>
    </row>
    <row r="536" spans="1:8">
      <c r="A536" s="1">
        <v>539</v>
      </c>
      <c r="B536" s="1" t="s">
        <v>1344</v>
      </c>
      <c r="C536" s="1" t="s">
        <v>115</v>
      </c>
      <c r="D536" s="1">
        <v>518.2516</v>
      </c>
      <c r="E536" s="1">
        <f t="shared" si="24"/>
        <v>519.25888</v>
      </c>
      <c r="F536" s="1">
        <f t="shared" si="25"/>
        <v>536.28543</v>
      </c>
      <c r="G536" s="1">
        <f t="shared" si="26"/>
        <v>541.24082</v>
      </c>
      <c r="H536" s="1" t="s">
        <v>1345</v>
      </c>
    </row>
    <row r="537" spans="1:8">
      <c r="A537" s="1">
        <v>540</v>
      </c>
      <c r="B537" s="1" t="s">
        <v>1346</v>
      </c>
      <c r="C537" s="1" t="s">
        <v>211</v>
      </c>
      <c r="D537" s="1">
        <v>522.2618</v>
      </c>
      <c r="E537" s="1">
        <f t="shared" si="24"/>
        <v>523.26908</v>
      </c>
      <c r="F537" s="1">
        <f t="shared" si="25"/>
        <v>540.29563</v>
      </c>
      <c r="G537" s="1">
        <f t="shared" si="26"/>
        <v>545.25102</v>
      </c>
      <c r="H537" s="1" t="s">
        <v>1347</v>
      </c>
    </row>
    <row r="538" spans="1:8">
      <c r="A538" s="1">
        <v>541</v>
      </c>
      <c r="B538" s="1" t="s">
        <v>1348</v>
      </c>
      <c r="C538" s="1" t="s">
        <v>216</v>
      </c>
      <c r="D538" s="1">
        <v>564.2723</v>
      </c>
      <c r="E538" s="1">
        <f t="shared" si="24"/>
        <v>565.27958</v>
      </c>
      <c r="F538" s="1">
        <f t="shared" si="25"/>
        <v>582.30613</v>
      </c>
      <c r="G538" s="1">
        <f t="shared" si="26"/>
        <v>587.26152</v>
      </c>
      <c r="H538" s="1" t="s">
        <v>1349</v>
      </c>
    </row>
    <row r="539" spans="1:8">
      <c r="A539" s="1">
        <v>542</v>
      </c>
      <c r="B539" s="1" t="s">
        <v>1350</v>
      </c>
      <c r="C539" s="1" t="s">
        <v>216</v>
      </c>
      <c r="D539" s="1">
        <v>564.2723</v>
      </c>
      <c r="E539" s="1">
        <f t="shared" si="24"/>
        <v>565.27958</v>
      </c>
      <c r="F539" s="1">
        <f t="shared" si="25"/>
        <v>582.30613</v>
      </c>
      <c r="G539" s="1">
        <f t="shared" si="26"/>
        <v>587.26152</v>
      </c>
      <c r="H539" s="1" t="s">
        <v>1351</v>
      </c>
    </row>
    <row r="540" spans="1:8">
      <c r="A540" s="1">
        <v>543</v>
      </c>
      <c r="B540" s="1" t="s">
        <v>1352</v>
      </c>
      <c r="C540" s="1" t="s">
        <v>205</v>
      </c>
      <c r="D540" s="1">
        <v>606.2829</v>
      </c>
      <c r="E540" s="1">
        <f t="shared" si="24"/>
        <v>607.29018</v>
      </c>
      <c r="F540" s="1">
        <f t="shared" si="25"/>
        <v>624.31673</v>
      </c>
      <c r="G540" s="1">
        <f t="shared" si="26"/>
        <v>629.27212</v>
      </c>
      <c r="H540" s="1" t="s">
        <v>1353</v>
      </c>
    </row>
    <row r="541" spans="1:8">
      <c r="A541" s="1">
        <v>544</v>
      </c>
      <c r="B541" s="1" t="s">
        <v>1354</v>
      </c>
      <c r="C541" s="1" t="s">
        <v>230</v>
      </c>
      <c r="D541" s="1">
        <v>580.2672</v>
      </c>
      <c r="E541" s="1">
        <f t="shared" si="24"/>
        <v>581.27448</v>
      </c>
      <c r="F541" s="1">
        <f t="shared" si="25"/>
        <v>598.30103</v>
      </c>
      <c r="G541" s="1">
        <f t="shared" si="26"/>
        <v>603.25642</v>
      </c>
      <c r="H541" s="1" t="s">
        <v>1355</v>
      </c>
    </row>
    <row r="542" spans="1:8">
      <c r="A542" s="1">
        <v>545</v>
      </c>
      <c r="B542" s="1" t="s">
        <v>1356</v>
      </c>
      <c r="C542" s="1" t="s">
        <v>238</v>
      </c>
      <c r="D542" s="1">
        <v>664.2884</v>
      </c>
      <c r="E542" s="1">
        <f t="shared" si="24"/>
        <v>665.29568</v>
      </c>
      <c r="F542" s="1">
        <f t="shared" si="25"/>
        <v>682.32223</v>
      </c>
      <c r="G542" s="1">
        <f t="shared" si="26"/>
        <v>687.27762</v>
      </c>
      <c r="H542" s="1" t="s">
        <v>1357</v>
      </c>
    </row>
    <row r="543" spans="1:8">
      <c r="A543" s="1">
        <v>546</v>
      </c>
      <c r="B543" s="1" t="s">
        <v>1358</v>
      </c>
      <c r="C543" s="1" t="s">
        <v>227</v>
      </c>
      <c r="D543" s="1">
        <v>538.2567</v>
      </c>
      <c r="E543" s="1">
        <f t="shared" si="24"/>
        <v>539.26398</v>
      </c>
      <c r="F543" s="1">
        <f t="shared" si="25"/>
        <v>556.29053</v>
      </c>
      <c r="G543" s="1">
        <f t="shared" si="26"/>
        <v>561.24592</v>
      </c>
      <c r="H543" s="1" t="s">
        <v>1359</v>
      </c>
    </row>
    <row r="544" spans="1:8">
      <c r="A544" s="1">
        <v>548</v>
      </c>
      <c r="B544" s="1" t="s">
        <v>1360</v>
      </c>
      <c r="C544" s="1" t="s">
        <v>227</v>
      </c>
      <c r="D544" s="1">
        <v>538.2567</v>
      </c>
      <c r="E544" s="1">
        <f t="shared" si="24"/>
        <v>539.26398</v>
      </c>
      <c r="F544" s="1">
        <f t="shared" si="25"/>
        <v>556.29053</v>
      </c>
      <c r="G544" s="1">
        <f t="shared" si="26"/>
        <v>561.24592</v>
      </c>
      <c r="H544" s="1" t="s">
        <v>1361</v>
      </c>
    </row>
    <row r="545" spans="1:8">
      <c r="A545" s="1">
        <v>549</v>
      </c>
      <c r="B545" s="1" t="s">
        <v>1362</v>
      </c>
      <c r="C545" s="1" t="s">
        <v>1363</v>
      </c>
      <c r="D545" s="1">
        <v>580.2672</v>
      </c>
      <c r="E545" s="1">
        <f t="shared" si="24"/>
        <v>581.27448</v>
      </c>
      <c r="F545" s="1">
        <f t="shared" si="25"/>
        <v>598.30103</v>
      </c>
      <c r="G545" s="1">
        <f t="shared" si="26"/>
        <v>603.25642</v>
      </c>
      <c r="H545" s="1" t="s">
        <v>1364</v>
      </c>
    </row>
    <row r="546" spans="1:8">
      <c r="A546" s="1">
        <v>550</v>
      </c>
      <c r="B546" s="1" t="s">
        <v>1365</v>
      </c>
      <c r="C546" s="1" t="s">
        <v>233</v>
      </c>
      <c r="D546" s="1">
        <v>622.2778</v>
      </c>
      <c r="E546" s="1">
        <f t="shared" si="24"/>
        <v>623.28508</v>
      </c>
      <c r="F546" s="1">
        <f t="shared" si="25"/>
        <v>640.31163</v>
      </c>
      <c r="G546" s="1">
        <f t="shared" si="26"/>
        <v>645.26702</v>
      </c>
      <c r="H546" s="1" t="s">
        <v>1366</v>
      </c>
    </row>
    <row r="547" spans="1:8">
      <c r="A547" s="1">
        <v>551</v>
      </c>
      <c r="B547" s="1" t="s">
        <v>1367</v>
      </c>
      <c r="C547" s="1" t="s">
        <v>216</v>
      </c>
      <c r="D547" s="1">
        <v>564.2723</v>
      </c>
      <c r="E547" s="1">
        <f t="shared" si="24"/>
        <v>565.27958</v>
      </c>
      <c r="F547" s="1">
        <f t="shared" si="25"/>
        <v>582.30613</v>
      </c>
      <c r="G547" s="1">
        <f t="shared" si="26"/>
        <v>587.26152</v>
      </c>
      <c r="H547" s="1" t="s">
        <v>1368</v>
      </c>
    </row>
    <row r="548" spans="1:8">
      <c r="A548" s="1">
        <v>552</v>
      </c>
      <c r="B548" s="1" t="s">
        <v>1369</v>
      </c>
      <c r="C548" s="1" t="s">
        <v>331</v>
      </c>
      <c r="D548" s="1">
        <v>609.3302</v>
      </c>
      <c r="E548" s="1">
        <f t="shared" si="24"/>
        <v>610.33748</v>
      </c>
      <c r="F548" s="1">
        <f t="shared" si="25"/>
        <v>627.36403</v>
      </c>
      <c r="G548" s="1">
        <f t="shared" si="26"/>
        <v>632.31942</v>
      </c>
      <c r="H548" s="1" t="s">
        <v>1370</v>
      </c>
    </row>
    <row r="549" spans="1:8">
      <c r="A549" s="1">
        <v>553</v>
      </c>
      <c r="B549" s="1" t="s">
        <v>1371</v>
      </c>
      <c r="C549" s="1" t="s">
        <v>1372</v>
      </c>
      <c r="D549" s="1">
        <v>651.3407</v>
      </c>
      <c r="E549" s="1">
        <f t="shared" si="24"/>
        <v>652.34798</v>
      </c>
      <c r="F549" s="1">
        <f t="shared" si="25"/>
        <v>669.37453</v>
      </c>
      <c r="G549" s="1">
        <f t="shared" si="26"/>
        <v>674.32992</v>
      </c>
      <c r="H549" s="1" t="s">
        <v>1373</v>
      </c>
    </row>
    <row r="550" spans="1:8">
      <c r="A550" s="1">
        <v>554</v>
      </c>
      <c r="B550" s="1" t="s">
        <v>1374</v>
      </c>
      <c r="C550" s="1" t="s">
        <v>233</v>
      </c>
      <c r="D550" s="1">
        <v>622.2778</v>
      </c>
      <c r="E550" s="1">
        <f t="shared" si="24"/>
        <v>623.28508</v>
      </c>
      <c r="F550" s="1">
        <f t="shared" si="25"/>
        <v>640.31163</v>
      </c>
      <c r="G550" s="1">
        <f t="shared" si="26"/>
        <v>645.26702</v>
      </c>
      <c r="H550" s="1" t="s">
        <v>1375</v>
      </c>
    </row>
    <row r="551" spans="1:8">
      <c r="A551" s="1">
        <v>555</v>
      </c>
      <c r="B551" s="1" t="s">
        <v>1376</v>
      </c>
      <c r="C551" s="1" t="s">
        <v>1377</v>
      </c>
      <c r="D551" s="1">
        <v>416.2199</v>
      </c>
      <c r="E551" s="1">
        <f t="shared" si="24"/>
        <v>417.22718</v>
      </c>
      <c r="F551" s="1">
        <f t="shared" si="25"/>
        <v>434.25373</v>
      </c>
      <c r="G551" s="1">
        <f t="shared" si="26"/>
        <v>439.20912</v>
      </c>
      <c r="H551" s="1" t="s">
        <v>1378</v>
      </c>
    </row>
    <row r="552" spans="1:8">
      <c r="A552" s="1">
        <v>556</v>
      </c>
      <c r="B552" s="1" t="s">
        <v>1379</v>
      </c>
      <c r="C552" s="1" t="s">
        <v>1380</v>
      </c>
      <c r="D552" s="1">
        <v>458.2305</v>
      </c>
      <c r="E552" s="1">
        <f t="shared" si="24"/>
        <v>459.23778</v>
      </c>
      <c r="F552" s="1">
        <f t="shared" si="25"/>
        <v>476.26433</v>
      </c>
      <c r="G552" s="1">
        <f t="shared" si="26"/>
        <v>481.21972</v>
      </c>
      <c r="H552" s="1" t="s">
        <v>1381</v>
      </c>
    </row>
    <row r="553" spans="1:8">
      <c r="A553" s="1">
        <v>557</v>
      </c>
      <c r="B553" s="1" t="s">
        <v>1382</v>
      </c>
      <c r="C553" s="1" t="s">
        <v>1303</v>
      </c>
      <c r="D553" s="1">
        <v>620.2622</v>
      </c>
      <c r="E553" s="1">
        <f t="shared" si="24"/>
        <v>621.26948</v>
      </c>
      <c r="F553" s="1">
        <f t="shared" si="25"/>
        <v>638.29603</v>
      </c>
      <c r="G553" s="1">
        <f t="shared" si="26"/>
        <v>643.25142</v>
      </c>
      <c r="H553" s="1" t="s">
        <v>1383</v>
      </c>
    </row>
    <row r="554" spans="1:8">
      <c r="A554" s="1">
        <v>558</v>
      </c>
      <c r="B554" s="1" t="s">
        <v>1384</v>
      </c>
      <c r="C554" s="1" t="s">
        <v>230</v>
      </c>
      <c r="D554" s="1">
        <v>580.2672</v>
      </c>
      <c r="E554" s="1">
        <f t="shared" si="24"/>
        <v>581.27448</v>
      </c>
      <c r="F554" s="1">
        <f t="shared" si="25"/>
        <v>598.30103</v>
      </c>
      <c r="G554" s="1">
        <f t="shared" si="26"/>
        <v>603.25642</v>
      </c>
      <c r="H554" s="1" t="s">
        <v>1385</v>
      </c>
    </row>
    <row r="555" spans="1:8">
      <c r="A555" s="1">
        <v>559</v>
      </c>
      <c r="B555" s="1" t="s">
        <v>1386</v>
      </c>
      <c r="C555" s="1" t="s">
        <v>108</v>
      </c>
      <c r="D555" s="1">
        <v>476.241</v>
      </c>
      <c r="E555" s="1">
        <f t="shared" si="24"/>
        <v>477.24828</v>
      </c>
      <c r="F555" s="1">
        <f t="shared" si="25"/>
        <v>494.27483</v>
      </c>
      <c r="G555" s="1">
        <f t="shared" si="26"/>
        <v>499.23022</v>
      </c>
      <c r="H555" s="1" t="s">
        <v>1387</v>
      </c>
    </row>
    <row r="556" spans="1:8">
      <c r="A556" s="1">
        <v>560</v>
      </c>
      <c r="B556" s="1" t="s">
        <v>1388</v>
      </c>
      <c r="C556" s="1" t="s">
        <v>123</v>
      </c>
      <c r="D556" s="1">
        <v>450.2254</v>
      </c>
      <c r="E556" s="1">
        <f t="shared" si="24"/>
        <v>451.23268</v>
      </c>
      <c r="F556" s="1">
        <f t="shared" si="25"/>
        <v>468.25923</v>
      </c>
      <c r="G556" s="1">
        <f t="shared" si="26"/>
        <v>473.21462</v>
      </c>
      <c r="H556" s="1" t="s">
        <v>1389</v>
      </c>
    </row>
    <row r="557" spans="1:8">
      <c r="A557" s="1">
        <v>561</v>
      </c>
      <c r="B557" s="1" t="s">
        <v>1390</v>
      </c>
      <c r="C557" s="1" t="s">
        <v>123</v>
      </c>
      <c r="D557" s="1">
        <v>450.2254</v>
      </c>
      <c r="E557" s="1">
        <f t="shared" si="24"/>
        <v>451.23268</v>
      </c>
      <c r="F557" s="1">
        <f t="shared" si="25"/>
        <v>468.25923</v>
      </c>
      <c r="G557" s="1">
        <f t="shared" si="26"/>
        <v>473.21462</v>
      </c>
      <c r="H557" s="1" t="s">
        <v>1391</v>
      </c>
    </row>
    <row r="558" spans="1:8">
      <c r="A558" s="1">
        <v>562</v>
      </c>
      <c r="B558" s="1" t="s">
        <v>1392</v>
      </c>
      <c r="C558" s="1" t="s">
        <v>126</v>
      </c>
      <c r="D558" s="1">
        <v>492.2359</v>
      </c>
      <c r="E558" s="1">
        <f t="shared" si="24"/>
        <v>493.24318</v>
      </c>
      <c r="F558" s="1">
        <f t="shared" si="25"/>
        <v>510.26973</v>
      </c>
      <c r="G558" s="1">
        <f t="shared" si="26"/>
        <v>515.22512</v>
      </c>
      <c r="H558" s="1" t="s">
        <v>1393</v>
      </c>
    </row>
    <row r="559" spans="1:8">
      <c r="A559" s="1">
        <v>563</v>
      </c>
      <c r="B559" s="1" t="s">
        <v>1394</v>
      </c>
      <c r="C559" s="1" t="s">
        <v>1395</v>
      </c>
      <c r="D559" s="4">
        <v>450.2254</v>
      </c>
      <c r="E559" s="4">
        <f t="shared" si="24"/>
        <v>451.23268</v>
      </c>
      <c r="F559" s="4">
        <f t="shared" si="25"/>
        <v>468.25923</v>
      </c>
      <c r="G559" s="1">
        <f t="shared" si="26"/>
        <v>473.21462</v>
      </c>
      <c r="H559" s="1" t="s">
        <v>1396</v>
      </c>
    </row>
    <row r="560" spans="1:8">
      <c r="A560" s="1">
        <v>564</v>
      </c>
      <c r="B560" s="1" t="s">
        <v>1397</v>
      </c>
      <c r="C560" s="1" t="s">
        <v>1398</v>
      </c>
      <c r="D560" s="1">
        <v>462.2254</v>
      </c>
      <c r="E560" s="1">
        <f t="shared" si="24"/>
        <v>463.23268</v>
      </c>
      <c r="F560" s="1">
        <f t="shared" si="25"/>
        <v>480.25923</v>
      </c>
      <c r="G560" s="1">
        <f t="shared" si="26"/>
        <v>485.21462</v>
      </c>
      <c r="H560" s="1" t="s">
        <v>1399</v>
      </c>
    </row>
    <row r="561" spans="1:8">
      <c r="A561" s="1">
        <v>565</v>
      </c>
      <c r="B561" s="1" t="s">
        <v>1400</v>
      </c>
      <c r="C561" s="1" t="s">
        <v>86</v>
      </c>
      <c r="D561" s="1">
        <v>552.2571</v>
      </c>
      <c r="E561" s="1">
        <f t="shared" si="24"/>
        <v>553.26438</v>
      </c>
      <c r="F561" s="1">
        <f t="shared" si="25"/>
        <v>570.29093</v>
      </c>
      <c r="G561" s="1">
        <f t="shared" si="26"/>
        <v>575.24632</v>
      </c>
      <c r="H561" s="1" t="s">
        <v>1401</v>
      </c>
    </row>
    <row r="562" spans="1:8">
      <c r="A562" s="1">
        <v>566</v>
      </c>
      <c r="B562" s="1" t="s">
        <v>1402</v>
      </c>
      <c r="C562" s="1" t="s">
        <v>86</v>
      </c>
      <c r="D562" s="1">
        <v>552.2571</v>
      </c>
      <c r="E562" s="1">
        <f t="shared" si="24"/>
        <v>553.26438</v>
      </c>
      <c r="F562" s="1">
        <f t="shared" si="25"/>
        <v>570.29093</v>
      </c>
      <c r="G562" s="1">
        <f t="shared" si="26"/>
        <v>575.24632</v>
      </c>
      <c r="H562" s="1" t="s">
        <v>1403</v>
      </c>
    </row>
    <row r="563" spans="1:8">
      <c r="A563" s="1">
        <v>567</v>
      </c>
      <c r="B563" s="1" t="s">
        <v>1404</v>
      </c>
      <c r="C563" s="1" t="s">
        <v>31</v>
      </c>
      <c r="D563" s="1">
        <v>594.2676</v>
      </c>
      <c r="E563" s="1">
        <f t="shared" si="24"/>
        <v>595.27488</v>
      </c>
      <c r="F563" s="1">
        <f t="shared" si="25"/>
        <v>612.30143</v>
      </c>
      <c r="G563" s="1">
        <f t="shared" si="26"/>
        <v>617.25682</v>
      </c>
      <c r="H563" s="1" t="s">
        <v>1405</v>
      </c>
    </row>
    <row r="564" spans="1:8">
      <c r="A564" s="1">
        <v>568</v>
      </c>
      <c r="B564" s="1" t="s">
        <v>1406</v>
      </c>
      <c r="C564" s="1" t="s">
        <v>1001</v>
      </c>
      <c r="D564" s="1">
        <v>508.2308</v>
      </c>
      <c r="E564" s="1">
        <f t="shared" si="24"/>
        <v>509.23808</v>
      </c>
      <c r="F564" s="1">
        <f t="shared" si="25"/>
        <v>526.26463</v>
      </c>
      <c r="G564" s="1">
        <f t="shared" si="26"/>
        <v>531.22002</v>
      </c>
      <c r="H564" s="1" t="s">
        <v>1407</v>
      </c>
    </row>
    <row r="565" spans="1:8">
      <c r="A565" s="1">
        <v>569</v>
      </c>
      <c r="B565" s="1" t="s">
        <v>1408</v>
      </c>
      <c r="C565" s="1" t="s">
        <v>86</v>
      </c>
      <c r="D565" s="1">
        <v>552.2571</v>
      </c>
      <c r="E565" s="1">
        <f t="shared" si="24"/>
        <v>553.26438</v>
      </c>
      <c r="F565" s="1">
        <f t="shared" si="25"/>
        <v>570.29093</v>
      </c>
      <c r="G565" s="1">
        <f t="shared" si="26"/>
        <v>575.24632</v>
      </c>
      <c r="H565" s="1" t="s">
        <v>1409</v>
      </c>
    </row>
    <row r="566" spans="1:8">
      <c r="A566" s="1">
        <v>570</v>
      </c>
      <c r="B566" s="1" t="s">
        <v>1410</v>
      </c>
      <c r="C566" s="1" t="s">
        <v>86</v>
      </c>
      <c r="D566" s="1">
        <v>594.2676</v>
      </c>
      <c r="E566" s="1">
        <f t="shared" si="24"/>
        <v>595.27488</v>
      </c>
      <c r="F566" s="1">
        <f t="shared" si="25"/>
        <v>612.30143</v>
      </c>
      <c r="G566" s="1">
        <f t="shared" si="26"/>
        <v>617.25682</v>
      </c>
      <c r="H566" s="1" t="s">
        <v>1411</v>
      </c>
    </row>
    <row r="567" spans="1:8">
      <c r="A567" s="1">
        <v>571</v>
      </c>
      <c r="B567" s="1" t="s">
        <v>1412</v>
      </c>
      <c r="C567" s="1" t="s">
        <v>875</v>
      </c>
      <c r="D567" s="1">
        <v>682.2989</v>
      </c>
      <c r="E567" s="1">
        <f t="shared" si="24"/>
        <v>683.30618</v>
      </c>
      <c r="F567" s="1">
        <f t="shared" si="25"/>
        <v>700.33273</v>
      </c>
      <c r="G567" s="1">
        <f t="shared" si="26"/>
        <v>705.28812</v>
      </c>
      <c r="H567" s="1" t="s">
        <v>1413</v>
      </c>
    </row>
    <row r="568" spans="1:8">
      <c r="A568" s="1">
        <v>572</v>
      </c>
      <c r="B568" s="1" t="s">
        <v>1414</v>
      </c>
      <c r="C568" s="1" t="s">
        <v>1415</v>
      </c>
      <c r="D568" s="1">
        <v>640.2884</v>
      </c>
      <c r="E568" s="1">
        <f t="shared" si="24"/>
        <v>641.29568</v>
      </c>
      <c r="F568" s="1">
        <f t="shared" si="25"/>
        <v>658.32223</v>
      </c>
      <c r="G568" s="1">
        <f t="shared" si="26"/>
        <v>663.27762</v>
      </c>
      <c r="H568" s="1" t="s">
        <v>1416</v>
      </c>
    </row>
    <row r="569" spans="1:8">
      <c r="A569" s="1">
        <v>573</v>
      </c>
      <c r="B569" s="1" t="s">
        <v>1417</v>
      </c>
      <c r="C569" s="1" t="s">
        <v>875</v>
      </c>
      <c r="D569" s="1">
        <v>682.2989</v>
      </c>
      <c r="E569" s="1">
        <f t="shared" si="24"/>
        <v>683.30618</v>
      </c>
      <c r="F569" s="1">
        <f t="shared" si="25"/>
        <v>700.33273</v>
      </c>
      <c r="G569" s="1">
        <f t="shared" si="26"/>
        <v>705.28812</v>
      </c>
      <c r="H569" s="1" t="s">
        <v>1418</v>
      </c>
    </row>
    <row r="570" spans="1:8">
      <c r="A570" s="1">
        <v>574</v>
      </c>
      <c r="B570" s="1" t="s">
        <v>1419</v>
      </c>
      <c r="C570" s="1" t="s">
        <v>202</v>
      </c>
      <c r="D570" s="1">
        <v>724.3095</v>
      </c>
      <c r="E570" s="1">
        <f t="shared" si="24"/>
        <v>725.31678</v>
      </c>
      <c r="F570" s="1">
        <f t="shared" si="25"/>
        <v>742.34333</v>
      </c>
      <c r="G570" s="1">
        <f t="shared" si="26"/>
        <v>747.29872</v>
      </c>
      <c r="H570" s="1" t="s">
        <v>1420</v>
      </c>
    </row>
    <row r="571" spans="1:8">
      <c r="A571" s="1">
        <v>575</v>
      </c>
      <c r="B571" s="1" t="s">
        <v>1421</v>
      </c>
      <c r="C571" s="1" t="s">
        <v>1216</v>
      </c>
      <c r="D571" s="1">
        <v>550.2414</v>
      </c>
      <c r="E571" s="1">
        <f t="shared" si="24"/>
        <v>551.24868</v>
      </c>
      <c r="F571" s="1">
        <f t="shared" si="25"/>
        <v>568.27523</v>
      </c>
      <c r="G571" s="1">
        <f t="shared" si="26"/>
        <v>573.23062</v>
      </c>
      <c r="H571" s="1" t="s">
        <v>1422</v>
      </c>
    </row>
    <row r="572" spans="1:8">
      <c r="A572" s="1">
        <v>576</v>
      </c>
      <c r="B572" s="1" t="s">
        <v>1423</v>
      </c>
      <c r="C572" s="1" t="s">
        <v>86</v>
      </c>
      <c r="D572" s="1">
        <v>552.2571</v>
      </c>
      <c r="E572" s="1">
        <f t="shared" si="24"/>
        <v>553.26438</v>
      </c>
      <c r="F572" s="1">
        <f t="shared" si="25"/>
        <v>570.29093</v>
      </c>
      <c r="G572" s="1">
        <f t="shared" si="26"/>
        <v>575.24632</v>
      </c>
      <c r="H572" s="1" t="s">
        <v>1424</v>
      </c>
    </row>
    <row r="573" spans="1:8">
      <c r="A573" s="1">
        <v>577</v>
      </c>
      <c r="B573" s="1" t="s">
        <v>1425</v>
      </c>
      <c r="C573" s="1" t="s">
        <v>31</v>
      </c>
      <c r="D573" s="1">
        <v>594.2676</v>
      </c>
      <c r="E573" s="1">
        <f t="shared" si="24"/>
        <v>595.27488</v>
      </c>
      <c r="F573" s="1">
        <f t="shared" si="25"/>
        <v>612.30143</v>
      </c>
      <c r="G573" s="1">
        <f t="shared" si="26"/>
        <v>617.25682</v>
      </c>
      <c r="H573" s="1" t="s">
        <v>1426</v>
      </c>
    </row>
    <row r="574" spans="1:8">
      <c r="A574" s="1">
        <v>578</v>
      </c>
      <c r="B574" s="1" t="s">
        <v>1427</v>
      </c>
      <c r="C574" s="1" t="s">
        <v>86</v>
      </c>
      <c r="D574" s="1">
        <v>552.2571</v>
      </c>
      <c r="E574" s="1">
        <f t="shared" si="24"/>
        <v>553.26438</v>
      </c>
      <c r="F574" s="1">
        <f t="shared" si="25"/>
        <v>570.29093</v>
      </c>
      <c r="G574" s="1">
        <f t="shared" si="26"/>
        <v>575.24632</v>
      </c>
      <c r="H574" s="1" t="s">
        <v>1428</v>
      </c>
    </row>
    <row r="575" spans="1:8">
      <c r="A575" s="1">
        <v>579</v>
      </c>
      <c r="B575" s="1" t="s">
        <v>1429</v>
      </c>
      <c r="C575" s="1" t="s">
        <v>31</v>
      </c>
      <c r="D575" s="1">
        <v>594.2676</v>
      </c>
      <c r="E575" s="1">
        <f t="shared" si="24"/>
        <v>595.27488</v>
      </c>
      <c r="F575" s="1">
        <f t="shared" si="25"/>
        <v>612.30143</v>
      </c>
      <c r="G575" s="1">
        <f t="shared" si="26"/>
        <v>617.25682</v>
      </c>
      <c r="H575" s="1" t="s">
        <v>1430</v>
      </c>
    </row>
    <row r="576" spans="1:8">
      <c r="A576" s="1">
        <v>580</v>
      </c>
      <c r="B576" s="1" t="s">
        <v>1431</v>
      </c>
      <c r="C576" s="1" t="s">
        <v>31</v>
      </c>
      <c r="D576" s="1">
        <v>594.2676</v>
      </c>
      <c r="E576" s="1">
        <f t="shared" si="24"/>
        <v>595.27488</v>
      </c>
      <c r="F576" s="1">
        <f t="shared" si="25"/>
        <v>612.30143</v>
      </c>
      <c r="G576" s="1">
        <f t="shared" si="26"/>
        <v>617.25682</v>
      </c>
      <c r="H576" s="1" t="s">
        <v>1432</v>
      </c>
    </row>
    <row r="577" spans="1:8">
      <c r="A577" s="1">
        <v>581</v>
      </c>
      <c r="B577" s="1" t="s">
        <v>1433</v>
      </c>
      <c r="C577" s="1" t="s">
        <v>471</v>
      </c>
      <c r="D577" s="1">
        <v>636.2782</v>
      </c>
      <c r="E577" s="1">
        <f t="shared" si="24"/>
        <v>637.28548</v>
      </c>
      <c r="F577" s="1">
        <f t="shared" si="25"/>
        <v>654.31203</v>
      </c>
      <c r="G577" s="1">
        <f t="shared" si="26"/>
        <v>659.26742</v>
      </c>
      <c r="H577" s="1" t="s">
        <v>1434</v>
      </c>
    </row>
    <row r="578" spans="1:8">
      <c r="A578" s="1">
        <v>582</v>
      </c>
      <c r="B578" s="1" t="s">
        <v>1435</v>
      </c>
      <c r="C578" s="1" t="s">
        <v>202</v>
      </c>
      <c r="D578" s="1">
        <v>724.3095</v>
      </c>
      <c r="E578" s="1">
        <f t="shared" si="24"/>
        <v>725.31678</v>
      </c>
      <c r="F578" s="1">
        <f t="shared" si="25"/>
        <v>742.34333</v>
      </c>
      <c r="G578" s="1">
        <f t="shared" si="26"/>
        <v>747.29872</v>
      </c>
      <c r="H578" s="1" t="s">
        <v>1436</v>
      </c>
    </row>
    <row r="579" spans="1:8">
      <c r="A579" s="1">
        <v>583</v>
      </c>
      <c r="B579" s="1" t="s">
        <v>1437</v>
      </c>
      <c r="C579" s="1" t="s">
        <v>1438</v>
      </c>
      <c r="D579" s="1">
        <v>592.252</v>
      </c>
      <c r="E579" s="1">
        <f t="shared" ref="E579:E640" si="27">D579+1.00728</f>
        <v>593.25928</v>
      </c>
      <c r="F579" s="1">
        <f t="shared" ref="F579:F640" si="28">D579+18.03383</f>
        <v>610.28583</v>
      </c>
      <c r="G579" s="1">
        <f t="shared" ref="G579:G640" si="29">D579+22.98922</f>
        <v>615.24122</v>
      </c>
      <c r="H579" s="1" t="s">
        <v>1439</v>
      </c>
    </row>
    <row r="580" spans="1:8">
      <c r="A580" s="1">
        <v>584</v>
      </c>
      <c r="B580" s="1" t="s">
        <v>1440</v>
      </c>
      <c r="C580" s="1" t="s">
        <v>471</v>
      </c>
      <c r="D580" s="1">
        <v>636.2782</v>
      </c>
      <c r="E580" s="1">
        <f t="shared" si="27"/>
        <v>637.28548</v>
      </c>
      <c r="F580" s="1">
        <f t="shared" si="28"/>
        <v>654.31203</v>
      </c>
      <c r="G580" s="1">
        <f t="shared" si="29"/>
        <v>659.26742</v>
      </c>
      <c r="H580" s="1" t="s">
        <v>1441</v>
      </c>
    </row>
    <row r="581" spans="1:8">
      <c r="A581" s="1">
        <v>585</v>
      </c>
      <c r="B581" s="1" t="s">
        <v>1442</v>
      </c>
      <c r="C581" s="1" t="s">
        <v>1438</v>
      </c>
      <c r="D581" s="1">
        <v>592.252</v>
      </c>
      <c r="E581" s="1">
        <f t="shared" si="27"/>
        <v>593.25928</v>
      </c>
      <c r="F581" s="1">
        <f t="shared" si="28"/>
        <v>610.28583</v>
      </c>
      <c r="G581" s="1">
        <f t="shared" si="29"/>
        <v>615.24122</v>
      </c>
      <c r="H581" s="1" t="s">
        <v>1443</v>
      </c>
    </row>
    <row r="582" spans="1:8">
      <c r="A582" s="1">
        <v>586</v>
      </c>
      <c r="B582" s="1" t="s">
        <v>1444</v>
      </c>
      <c r="C582" s="1" t="s">
        <v>202</v>
      </c>
      <c r="D582" s="1">
        <v>724.3095</v>
      </c>
      <c r="E582" s="1">
        <f t="shared" si="27"/>
        <v>725.31678</v>
      </c>
      <c r="F582" s="1">
        <f t="shared" si="28"/>
        <v>742.34333</v>
      </c>
      <c r="G582" s="1">
        <f t="shared" si="29"/>
        <v>747.29872</v>
      </c>
      <c r="H582" s="1" t="s">
        <v>1445</v>
      </c>
    </row>
    <row r="583" spans="1:8">
      <c r="A583" s="1">
        <v>587</v>
      </c>
      <c r="B583" s="1" t="s">
        <v>1446</v>
      </c>
      <c r="C583" s="1" t="s">
        <v>1447</v>
      </c>
      <c r="D583" s="1">
        <v>766.3201</v>
      </c>
      <c r="E583" s="1">
        <f t="shared" si="27"/>
        <v>767.32738</v>
      </c>
      <c r="F583" s="1">
        <f t="shared" si="28"/>
        <v>784.35393</v>
      </c>
      <c r="G583" s="1">
        <f t="shared" si="29"/>
        <v>789.30932</v>
      </c>
      <c r="H583" s="1" t="s">
        <v>1448</v>
      </c>
    </row>
    <row r="584" spans="1:8">
      <c r="A584" s="1">
        <v>588</v>
      </c>
      <c r="B584" s="1" t="s">
        <v>1449</v>
      </c>
      <c r="C584" s="1" t="s">
        <v>1450</v>
      </c>
      <c r="D584" s="1">
        <v>824.3255</v>
      </c>
      <c r="E584" s="1">
        <f t="shared" si="27"/>
        <v>825.33278</v>
      </c>
      <c r="F584" s="1">
        <f t="shared" si="28"/>
        <v>842.35933</v>
      </c>
      <c r="G584" s="1">
        <f t="shared" si="29"/>
        <v>847.31472</v>
      </c>
      <c r="H584" s="1" t="s">
        <v>1451</v>
      </c>
    </row>
    <row r="585" ht="14.4" spans="1:11">
      <c r="A585" s="1">
        <v>589</v>
      </c>
      <c r="B585" s="4" t="s">
        <v>1452</v>
      </c>
      <c r="C585" s="1" t="s">
        <v>1453</v>
      </c>
      <c r="D585" s="13">
        <v>827.3728</v>
      </c>
      <c r="E585" s="13">
        <f t="shared" si="27"/>
        <v>828.38008</v>
      </c>
      <c r="F585" s="13">
        <f t="shared" si="28"/>
        <v>845.40663</v>
      </c>
      <c r="G585" s="1">
        <f t="shared" si="29"/>
        <v>850.36202</v>
      </c>
      <c r="H585" s="1" t="s">
        <v>1454</v>
      </c>
      <c r="K585" s="7"/>
    </row>
    <row r="586" spans="1:8">
      <c r="A586" s="1">
        <v>590</v>
      </c>
      <c r="B586" s="1" t="s">
        <v>1455</v>
      </c>
      <c r="C586" s="1" t="s">
        <v>31</v>
      </c>
      <c r="D586" s="1">
        <v>594.2676</v>
      </c>
      <c r="E586" s="1">
        <f t="shared" si="27"/>
        <v>595.27488</v>
      </c>
      <c r="F586" s="1">
        <f t="shared" si="28"/>
        <v>612.30143</v>
      </c>
      <c r="G586" s="1">
        <f t="shared" si="29"/>
        <v>617.25682</v>
      </c>
      <c r="H586" s="1" t="s">
        <v>1456</v>
      </c>
    </row>
    <row r="587" spans="1:8">
      <c r="A587" s="1">
        <v>591</v>
      </c>
      <c r="B587" s="1" t="s">
        <v>1457</v>
      </c>
      <c r="C587" s="1" t="s">
        <v>474</v>
      </c>
      <c r="D587" s="1">
        <v>652.2731</v>
      </c>
      <c r="E587" s="1">
        <f t="shared" si="27"/>
        <v>653.28038</v>
      </c>
      <c r="F587" s="1">
        <f t="shared" si="28"/>
        <v>670.30693</v>
      </c>
      <c r="G587" s="1">
        <f t="shared" si="29"/>
        <v>675.26232</v>
      </c>
      <c r="H587" s="1" t="s">
        <v>1458</v>
      </c>
    </row>
    <row r="588" spans="1:8">
      <c r="A588" s="1">
        <v>592</v>
      </c>
      <c r="B588" s="1" t="s">
        <v>1459</v>
      </c>
      <c r="C588" s="1" t="s">
        <v>1216</v>
      </c>
      <c r="D588" s="1">
        <v>550.2414</v>
      </c>
      <c r="E588" s="1">
        <f t="shared" si="27"/>
        <v>551.24868</v>
      </c>
      <c r="F588" s="1">
        <f t="shared" si="28"/>
        <v>568.27523</v>
      </c>
      <c r="G588" s="1">
        <f t="shared" si="29"/>
        <v>573.23062</v>
      </c>
      <c r="H588" s="1" t="s">
        <v>1460</v>
      </c>
    </row>
    <row r="589" spans="1:8">
      <c r="A589" s="1">
        <v>593</v>
      </c>
      <c r="B589" s="1" t="s">
        <v>1461</v>
      </c>
      <c r="C589" s="1" t="s">
        <v>123</v>
      </c>
      <c r="D589" s="1">
        <v>450.2254</v>
      </c>
      <c r="E589" s="1">
        <f t="shared" si="27"/>
        <v>451.23268</v>
      </c>
      <c r="F589" s="1">
        <f t="shared" si="28"/>
        <v>468.25923</v>
      </c>
      <c r="G589" s="1">
        <f t="shared" si="29"/>
        <v>473.21462</v>
      </c>
      <c r="H589" s="1" t="s">
        <v>1462</v>
      </c>
    </row>
    <row r="590" spans="1:8">
      <c r="A590" s="1">
        <v>594</v>
      </c>
      <c r="B590" s="1" t="s">
        <v>1463</v>
      </c>
      <c r="C590" s="1" t="s">
        <v>123</v>
      </c>
      <c r="D590" s="1">
        <v>450.2254</v>
      </c>
      <c r="E590" s="1">
        <f t="shared" si="27"/>
        <v>451.23268</v>
      </c>
      <c r="F590" s="1">
        <f t="shared" si="28"/>
        <v>468.25923</v>
      </c>
      <c r="G590" s="1">
        <f t="shared" si="29"/>
        <v>473.21462</v>
      </c>
      <c r="H590" s="1" t="s">
        <v>1464</v>
      </c>
    </row>
    <row r="591" spans="1:8">
      <c r="A591" s="1">
        <v>595</v>
      </c>
      <c r="B591" s="1" t="s">
        <v>1465</v>
      </c>
      <c r="C591" s="1" t="s">
        <v>126</v>
      </c>
      <c r="D591" s="1">
        <v>492.2359</v>
      </c>
      <c r="E591" s="1">
        <f t="shared" si="27"/>
        <v>493.24318</v>
      </c>
      <c r="F591" s="1">
        <f t="shared" si="28"/>
        <v>510.26973</v>
      </c>
      <c r="G591" s="1">
        <f t="shared" si="29"/>
        <v>515.22512</v>
      </c>
      <c r="H591" s="1" t="s">
        <v>1466</v>
      </c>
    </row>
    <row r="592" spans="1:8">
      <c r="A592" s="1">
        <v>596</v>
      </c>
      <c r="B592" s="1" t="s">
        <v>1467</v>
      </c>
      <c r="C592" s="1" t="s">
        <v>131</v>
      </c>
      <c r="D592" s="1">
        <v>534.2465</v>
      </c>
      <c r="E592" s="1">
        <f t="shared" si="27"/>
        <v>535.25378</v>
      </c>
      <c r="F592" s="1">
        <f t="shared" si="28"/>
        <v>552.28033</v>
      </c>
      <c r="G592" s="1">
        <f t="shared" si="29"/>
        <v>557.23572</v>
      </c>
      <c r="H592" s="1" t="s">
        <v>1468</v>
      </c>
    </row>
    <row r="593" spans="1:8">
      <c r="A593" s="1">
        <v>597</v>
      </c>
      <c r="B593" s="1" t="s">
        <v>1469</v>
      </c>
      <c r="C593" s="1" t="s">
        <v>131</v>
      </c>
      <c r="D593" s="1">
        <v>534.2465</v>
      </c>
      <c r="E593" s="1">
        <f t="shared" si="27"/>
        <v>535.25378</v>
      </c>
      <c r="F593" s="1">
        <f t="shared" si="28"/>
        <v>552.28033</v>
      </c>
      <c r="G593" s="1">
        <f t="shared" si="29"/>
        <v>557.23572</v>
      </c>
      <c r="H593" s="1" t="s">
        <v>1470</v>
      </c>
    </row>
    <row r="594" spans="1:8">
      <c r="A594" s="1">
        <v>598</v>
      </c>
      <c r="B594" s="1" t="s">
        <v>1471</v>
      </c>
      <c r="C594" s="1" t="s">
        <v>1472</v>
      </c>
      <c r="D594" s="1">
        <v>576.2571</v>
      </c>
      <c r="E594" s="1">
        <f t="shared" si="27"/>
        <v>577.26438</v>
      </c>
      <c r="F594" s="1">
        <f t="shared" si="28"/>
        <v>594.29093</v>
      </c>
      <c r="G594" s="1">
        <f t="shared" si="29"/>
        <v>599.24632</v>
      </c>
      <c r="H594" s="1" t="s">
        <v>1473</v>
      </c>
    </row>
    <row r="595" spans="1:8">
      <c r="A595" s="1">
        <v>599</v>
      </c>
      <c r="B595" s="1" t="s">
        <v>1474</v>
      </c>
      <c r="C595" s="1" t="s">
        <v>1475</v>
      </c>
      <c r="D595" s="1">
        <v>320.2351</v>
      </c>
      <c r="E595" s="1">
        <f t="shared" si="27"/>
        <v>321.24238</v>
      </c>
      <c r="F595" s="1">
        <f t="shared" si="28"/>
        <v>338.26893</v>
      </c>
      <c r="G595" s="1">
        <f t="shared" si="29"/>
        <v>343.22432</v>
      </c>
      <c r="H595" s="1" t="s">
        <v>1476</v>
      </c>
    </row>
    <row r="596" spans="1:8">
      <c r="A596" s="1">
        <v>600</v>
      </c>
      <c r="B596" s="1" t="s">
        <v>1477</v>
      </c>
      <c r="C596" s="1" t="s">
        <v>447</v>
      </c>
      <c r="D596" s="1">
        <v>568.252</v>
      </c>
      <c r="E596" s="1">
        <f t="shared" si="27"/>
        <v>569.25928</v>
      </c>
      <c r="F596" s="1">
        <f t="shared" si="28"/>
        <v>586.28583</v>
      </c>
      <c r="G596" s="1">
        <f t="shared" si="29"/>
        <v>591.24122</v>
      </c>
      <c r="H596" s="1" t="s">
        <v>1478</v>
      </c>
    </row>
    <row r="597" spans="1:8">
      <c r="A597" s="1">
        <v>601</v>
      </c>
      <c r="B597" s="1" t="s">
        <v>1479</v>
      </c>
      <c r="C597" s="1" t="s">
        <v>1480</v>
      </c>
      <c r="D597" s="14">
        <v>528.324</v>
      </c>
      <c r="E597" s="1">
        <f t="shared" si="27"/>
        <v>529.33128</v>
      </c>
      <c r="F597" s="1">
        <f t="shared" si="28"/>
        <v>546.35783</v>
      </c>
      <c r="G597" s="1">
        <f t="shared" si="29"/>
        <v>551.31322</v>
      </c>
      <c r="H597" s="1" t="s">
        <v>1481</v>
      </c>
    </row>
    <row r="598" spans="1:8">
      <c r="A598" s="1">
        <v>602</v>
      </c>
      <c r="B598" s="1" t="s">
        <v>1482</v>
      </c>
      <c r="C598" s="1" t="s">
        <v>1483</v>
      </c>
      <c r="D598" s="1">
        <v>546.2981</v>
      </c>
      <c r="E598" s="1">
        <f t="shared" si="27"/>
        <v>547.30538</v>
      </c>
      <c r="F598" s="1">
        <f t="shared" si="28"/>
        <v>564.33193</v>
      </c>
      <c r="G598" s="1">
        <f t="shared" si="29"/>
        <v>569.28732</v>
      </c>
      <c r="H598" s="1" t="s">
        <v>1484</v>
      </c>
    </row>
    <row r="599" spans="1:8">
      <c r="A599" s="1">
        <v>603</v>
      </c>
      <c r="B599" s="1" t="s">
        <v>1485</v>
      </c>
      <c r="C599" s="1" t="s">
        <v>1486</v>
      </c>
      <c r="D599" s="1">
        <v>878.3649</v>
      </c>
      <c r="E599" s="1">
        <f t="shared" si="27"/>
        <v>879.37218</v>
      </c>
      <c r="F599" s="1">
        <f t="shared" si="28"/>
        <v>896.39873</v>
      </c>
      <c r="G599" s="1">
        <f t="shared" si="29"/>
        <v>901.35412</v>
      </c>
      <c r="H599" s="1" t="s">
        <v>1487</v>
      </c>
    </row>
    <row r="600" spans="1:8">
      <c r="A600" s="1">
        <v>604</v>
      </c>
      <c r="B600" s="1" t="s">
        <v>1488</v>
      </c>
      <c r="C600" s="1" t="s">
        <v>1489</v>
      </c>
      <c r="D600" s="1">
        <v>865.3332</v>
      </c>
      <c r="E600" s="1">
        <f t="shared" si="27"/>
        <v>866.34048</v>
      </c>
      <c r="F600" s="1">
        <f t="shared" si="28"/>
        <v>883.36703</v>
      </c>
      <c r="G600" s="1">
        <f t="shared" si="29"/>
        <v>888.32242</v>
      </c>
      <c r="H600" s="1" t="s">
        <v>1490</v>
      </c>
    </row>
    <row r="601" spans="1:8">
      <c r="A601" s="1">
        <v>605</v>
      </c>
      <c r="B601" s="1" t="s">
        <v>1491</v>
      </c>
      <c r="C601" s="1" t="s">
        <v>1486</v>
      </c>
      <c r="D601" s="1">
        <v>878.3649</v>
      </c>
      <c r="E601" s="1">
        <f t="shared" si="27"/>
        <v>879.37218</v>
      </c>
      <c r="F601" s="1">
        <f t="shared" si="28"/>
        <v>896.39873</v>
      </c>
      <c r="G601" s="1">
        <f t="shared" si="29"/>
        <v>901.35412</v>
      </c>
      <c r="H601" s="1" t="s">
        <v>1492</v>
      </c>
    </row>
    <row r="602" spans="1:8">
      <c r="A602" s="1">
        <v>606</v>
      </c>
      <c r="B602" s="1" t="s">
        <v>1493</v>
      </c>
      <c r="C602" s="1" t="s">
        <v>1489</v>
      </c>
      <c r="D602" s="1">
        <v>865.3332</v>
      </c>
      <c r="E602" s="1">
        <f t="shared" si="27"/>
        <v>866.34048</v>
      </c>
      <c r="F602" s="1">
        <f t="shared" si="28"/>
        <v>883.36703</v>
      </c>
      <c r="G602" s="1">
        <f t="shared" si="29"/>
        <v>888.32242</v>
      </c>
      <c r="H602" s="1" t="s">
        <v>1494</v>
      </c>
    </row>
    <row r="603" spans="1:8">
      <c r="A603" s="1">
        <v>607</v>
      </c>
      <c r="B603" s="1" t="s">
        <v>1495</v>
      </c>
      <c r="C603" s="1" t="s">
        <v>1496</v>
      </c>
      <c r="D603" s="1">
        <v>791.3328</v>
      </c>
      <c r="E603" s="1">
        <f t="shared" si="27"/>
        <v>792.34008</v>
      </c>
      <c r="F603" s="1">
        <f t="shared" si="28"/>
        <v>809.36663</v>
      </c>
      <c r="G603" s="1">
        <f t="shared" si="29"/>
        <v>814.32202</v>
      </c>
      <c r="H603" s="1" t="s">
        <v>1497</v>
      </c>
    </row>
    <row r="604" spans="1:8">
      <c r="A604" s="1">
        <v>608</v>
      </c>
      <c r="B604" s="1" t="s">
        <v>1498</v>
      </c>
      <c r="C604" s="1" t="s">
        <v>1499</v>
      </c>
      <c r="D604" s="1">
        <v>920.3391</v>
      </c>
      <c r="E604" s="1">
        <f t="shared" si="27"/>
        <v>921.34638</v>
      </c>
      <c r="F604" s="1">
        <f t="shared" si="28"/>
        <v>938.37293</v>
      </c>
      <c r="G604" s="1">
        <f t="shared" si="29"/>
        <v>943.32832</v>
      </c>
      <c r="H604" s="1" t="s">
        <v>1500</v>
      </c>
    </row>
    <row r="605" spans="1:8">
      <c r="A605" s="15">
        <v>609</v>
      </c>
      <c r="B605" s="15" t="s">
        <v>1501</v>
      </c>
      <c r="C605" s="15" t="s">
        <v>1502</v>
      </c>
      <c r="D605" s="15">
        <v>272.2504</v>
      </c>
      <c r="E605" s="15">
        <f t="shared" si="27"/>
        <v>273.25768</v>
      </c>
      <c r="F605" s="15">
        <f t="shared" si="28"/>
        <v>290.28423</v>
      </c>
      <c r="G605" s="15">
        <f t="shared" si="29"/>
        <v>295.23962</v>
      </c>
      <c r="H605" s="15" t="s">
        <v>1503</v>
      </c>
    </row>
    <row r="606" spans="1:8">
      <c r="A606" s="15">
        <v>610</v>
      </c>
      <c r="B606" s="15" t="s">
        <v>1504</v>
      </c>
      <c r="C606" s="15" t="s">
        <v>1505</v>
      </c>
      <c r="D606" s="15">
        <v>288.2453</v>
      </c>
      <c r="E606" s="15">
        <f t="shared" si="27"/>
        <v>289.25258</v>
      </c>
      <c r="F606" s="15">
        <f t="shared" si="28"/>
        <v>306.27913</v>
      </c>
      <c r="G606" s="15">
        <f t="shared" si="29"/>
        <v>311.23452</v>
      </c>
      <c r="H606" s="15" t="s">
        <v>1506</v>
      </c>
    </row>
    <row r="607" spans="1:8">
      <c r="A607" s="15">
        <v>611</v>
      </c>
      <c r="B607" s="15" t="s">
        <v>1507</v>
      </c>
      <c r="C607" s="15" t="s">
        <v>1508</v>
      </c>
      <c r="D607" s="15">
        <v>330.2559</v>
      </c>
      <c r="E607" s="15">
        <f t="shared" si="27"/>
        <v>331.26318</v>
      </c>
      <c r="F607" s="15">
        <f t="shared" si="28"/>
        <v>348.28973</v>
      </c>
      <c r="G607" s="15">
        <f t="shared" si="29"/>
        <v>353.24512</v>
      </c>
      <c r="H607" s="15" t="s">
        <v>1509</v>
      </c>
    </row>
    <row r="608" spans="1:8">
      <c r="A608" s="15">
        <v>612</v>
      </c>
      <c r="B608" s="15" t="s">
        <v>1510</v>
      </c>
      <c r="C608" s="15" t="s">
        <v>352</v>
      </c>
      <c r="D608" s="15">
        <v>362.2457</v>
      </c>
      <c r="E608" s="15">
        <f t="shared" si="27"/>
        <v>363.25298</v>
      </c>
      <c r="F608" s="15">
        <f t="shared" si="28"/>
        <v>380.27953</v>
      </c>
      <c r="G608" s="15">
        <f t="shared" si="29"/>
        <v>385.23492</v>
      </c>
      <c r="H608" s="15" t="s">
        <v>1511</v>
      </c>
    </row>
    <row r="609" spans="1:8">
      <c r="A609" s="15">
        <v>613</v>
      </c>
      <c r="B609" s="15" t="s">
        <v>1512</v>
      </c>
      <c r="C609" s="15" t="s">
        <v>1513</v>
      </c>
      <c r="D609" s="15">
        <v>346.2508</v>
      </c>
      <c r="E609" s="15">
        <f t="shared" si="27"/>
        <v>347.25808</v>
      </c>
      <c r="F609" s="15">
        <f t="shared" si="28"/>
        <v>364.28463</v>
      </c>
      <c r="G609" s="15">
        <f t="shared" si="29"/>
        <v>369.24002</v>
      </c>
      <c r="H609" s="15" t="s">
        <v>1514</v>
      </c>
    </row>
    <row r="610" spans="1:8">
      <c r="A610" s="15">
        <v>614</v>
      </c>
      <c r="B610" s="15" t="s">
        <v>1515</v>
      </c>
      <c r="C610" s="15" t="s">
        <v>1475</v>
      </c>
      <c r="D610" s="15">
        <v>320.2351</v>
      </c>
      <c r="E610" s="15">
        <f t="shared" si="27"/>
        <v>321.24238</v>
      </c>
      <c r="F610" s="15">
        <f t="shared" si="28"/>
        <v>338.26893</v>
      </c>
      <c r="G610" s="15">
        <f t="shared" si="29"/>
        <v>343.22432</v>
      </c>
      <c r="H610" s="15" t="s">
        <v>1516</v>
      </c>
    </row>
    <row r="611" spans="1:8">
      <c r="A611" s="15">
        <v>615</v>
      </c>
      <c r="B611" s="15" t="s">
        <v>1517</v>
      </c>
      <c r="C611" s="15" t="s">
        <v>352</v>
      </c>
      <c r="D611" s="15">
        <v>362.2457</v>
      </c>
      <c r="E611" s="15">
        <f t="shared" si="27"/>
        <v>363.25298</v>
      </c>
      <c r="F611" s="15">
        <f t="shared" si="28"/>
        <v>380.27953</v>
      </c>
      <c r="G611" s="15">
        <f t="shared" si="29"/>
        <v>385.23492</v>
      </c>
      <c r="H611" s="15" t="s">
        <v>1518</v>
      </c>
    </row>
    <row r="612" spans="1:8">
      <c r="A612" s="15">
        <v>616</v>
      </c>
      <c r="B612" s="15" t="s">
        <v>1519</v>
      </c>
      <c r="C612" s="15" t="s">
        <v>352</v>
      </c>
      <c r="D612" s="15">
        <v>362.2457</v>
      </c>
      <c r="E612" s="15">
        <f t="shared" si="27"/>
        <v>363.25298</v>
      </c>
      <c r="F612" s="15">
        <f t="shared" si="28"/>
        <v>380.27953</v>
      </c>
      <c r="G612" s="15">
        <f t="shared" si="29"/>
        <v>385.23492</v>
      </c>
      <c r="H612" s="15" t="s">
        <v>1520</v>
      </c>
    </row>
    <row r="613" spans="1:8">
      <c r="A613" s="15">
        <v>617</v>
      </c>
      <c r="B613" s="15" t="s">
        <v>1521</v>
      </c>
      <c r="C613" s="15" t="s">
        <v>1522</v>
      </c>
      <c r="D613" s="15">
        <v>404.2563</v>
      </c>
      <c r="E613" s="15">
        <f t="shared" si="27"/>
        <v>405.26358</v>
      </c>
      <c r="F613" s="15">
        <f t="shared" si="28"/>
        <v>422.29013</v>
      </c>
      <c r="G613" s="15">
        <f t="shared" si="29"/>
        <v>427.24552</v>
      </c>
      <c r="H613" s="15" t="s">
        <v>1523</v>
      </c>
    </row>
    <row r="614" spans="1:8">
      <c r="A614" s="15">
        <v>618</v>
      </c>
      <c r="B614" s="15" t="s">
        <v>1524</v>
      </c>
      <c r="C614" s="15" t="s">
        <v>875</v>
      </c>
      <c r="D614" s="15">
        <v>682.2989</v>
      </c>
      <c r="E614" s="15">
        <f t="shared" si="27"/>
        <v>683.30618</v>
      </c>
      <c r="F614" s="15">
        <f t="shared" si="28"/>
        <v>700.33273</v>
      </c>
      <c r="G614" s="15">
        <f t="shared" si="29"/>
        <v>705.28812</v>
      </c>
      <c r="H614" s="15" t="s">
        <v>1525</v>
      </c>
    </row>
    <row r="615" spans="1:8">
      <c r="A615" s="15">
        <v>619</v>
      </c>
      <c r="B615" s="15" t="s">
        <v>1526</v>
      </c>
      <c r="C615" s="15" t="s">
        <v>1527</v>
      </c>
      <c r="D615" s="15">
        <v>686.2938</v>
      </c>
      <c r="E615" s="15">
        <f t="shared" si="27"/>
        <v>687.30108</v>
      </c>
      <c r="F615" s="15">
        <f t="shared" si="28"/>
        <v>704.32763</v>
      </c>
      <c r="G615" s="15">
        <f t="shared" si="29"/>
        <v>709.28302</v>
      </c>
      <c r="H615" s="15" t="s">
        <v>1528</v>
      </c>
    </row>
    <row r="616" spans="1:8">
      <c r="A616" s="15">
        <v>620</v>
      </c>
      <c r="B616" s="15" t="s">
        <v>1529</v>
      </c>
      <c r="C616" s="15" t="s">
        <v>521</v>
      </c>
      <c r="D616" s="15">
        <v>698.2938</v>
      </c>
      <c r="E616" s="15">
        <f t="shared" si="27"/>
        <v>699.30108</v>
      </c>
      <c r="F616" s="15">
        <f t="shared" si="28"/>
        <v>716.32763</v>
      </c>
      <c r="G616" s="15">
        <f t="shared" si="29"/>
        <v>721.28302</v>
      </c>
      <c r="H616" s="15" t="s">
        <v>1530</v>
      </c>
    </row>
    <row r="617" spans="1:8">
      <c r="A617" s="1">
        <v>621</v>
      </c>
      <c r="B617" s="1" t="s">
        <v>1531</v>
      </c>
      <c r="C617" s="1" t="s">
        <v>1505</v>
      </c>
      <c r="D617" s="1">
        <v>288.2453</v>
      </c>
      <c r="E617" s="1">
        <f t="shared" si="27"/>
        <v>289.25258</v>
      </c>
      <c r="F617" s="1">
        <f t="shared" si="28"/>
        <v>306.27913</v>
      </c>
      <c r="G617" s="1">
        <f t="shared" si="29"/>
        <v>311.23452</v>
      </c>
      <c r="H617" s="1" t="s">
        <v>1532</v>
      </c>
    </row>
    <row r="618" spans="1:8">
      <c r="A618" s="1">
        <v>622</v>
      </c>
      <c r="B618" s="1" t="s">
        <v>1533</v>
      </c>
      <c r="C618" s="1" t="s">
        <v>1505</v>
      </c>
      <c r="D618" s="1">
        <v>288.2453</v>
      </c>
      <c r="E618" s="1">
        <f t="shared" si="27"/>
        <v>289.25258</v>
      </c>
      <c r="F618" s="1">
        <f t="shared" si="28"/>
        <v>306.27913</v>
      </c>
      <c r="G618" s="1">
        <f t="shared" si="29"/>
        <v>311.23452</v>
      </c>
      <c r="H618" s="1" t="s">
        <v>1534</v>
      </c>
    </row>
    <row r="619" spans="1:8">
      <c r="A619" s="1">
        <v>623</v>
      </c>
      <c r="B619" s="1" t="s">
        <v>1535</v>
      </c>
      <c r="C619" s="1" t="s">
        <v>1505</v>
      </c>
      <c r="D619" s="1">
        <v>288.2453</v>
      </c>
      <c r="E619" s="1">
        <f t="shared" si="27"/>
        <v>289.25258</v>
      </c>
      <c r="F619" s="1">
        <f t="shared" si="28"/>
        <v>306.27913</v>
      </c>
      <c r="G619" s="1">
        <f t="shared" si="29"/>
        <v>311.23452</v>
      </c>
      <c r="H619" s="1" t="s">
        <v>1536</v>
      </c>
    </row>
    <row r="620" spans="1:8">
      <c r="A620" s="1">
        <v>624</v>
      </c>
      <c r="B620" s="1" t="s">
        <v>1537</v>
      </c>
      <c r="C620" s="1" t="s">
        <v>1538</v>
      </c>
      <c r="D620" s="1">
        <v>811.3779</v>
      </c>
      <c r="E620" s="1">
        <f t="shared" si="27"/>
        <v>812.38518</v>
      </c>
      <c r="F620" s="1">
        <f t="shared" si="28"/>
        <v>829.41173</v>
      </c>
      <c r="G620" s="1">
        <f t="shared" si="29"/>
        <v>834.36712</v>
      </c>
      <c r="H620" s="1" t="s">
        <v>1539</v>
      </c>
    </row>
    <row r="621" spans="1:11">
      <c r="A621" s="3">
        <v>625</v>
      </c>
      <c r="B621" s="16" t="s">
        <v>1540</v>
      </c>
      <c r="C621" s="3" t="s">
        <v>1541</v>
      </c>
      <c r="D621" s="17">
        <v>520.3036</v>
      </c>
      <c r="E621" s="17">
        <f t="shared" si="27"/>
        <v>521.31088</v>
      </c>
      <c r="F621" s="17">
        <f t="shared" si="28"/>
        <v>538.33743</v>
      </c>
      <c r="G621" s="3">
        <f t="shared" si="29"/>
        <v>543.29282</v>
      </c>
      <c r="H621" s="3" t="s">
        <v>1542</v>
      </c>
      <c r="I621" s="3"/>
      <c r="J621" s="3"/>
      <c r="K621" s="8"/>
    </row>
    <row r="622" ht="15.6" spans="1:11">
      <c r="A622" s="3">
        <v>626</v>
      </c>
      <c r="B622" s="16" t="s">
        <v>1543</v>
      </c>
      <c r="C622" s="18" t="s">
        <v>50</v>
      </c>
      <c r="D622" s="17">
        <v>520.2672</v>
      </c>
      <c r="E622" s="17">
        <f t="shared" si="27"/>
        <v>521.27448</v>
      </c>
      <c r="F622" s="17">
        <f t="shared" si="28"/>
        <v>538.30103</v>
      </c>
      <c r="G622" s="3">
        <f t="shared" si="29"/>
        <v>543.25642</v>
      </c>
      <c r="H622" s="19" t="s">
        <v>1544</v>
      </c>
      <c r="I622" s="3"/>
      <c r="J622" s="3"/>
      <c r="K622" s="8"/>
    </row>
    <row r="623" ht="41.4" spans="1:11">
      <c r="A623" s="3">
        <v>627</v>
      </c>
      <c r="B623" s="20" t="s">
        <v>1545</v>
      </c>
      <c r="C623" s="3" t="s">
        <v>1546</v>
      </c>
      <c r="D623" s="17">
        <v>588.2571</v>
      </c>
      <c r="E623" s="17">
        <f t="shared" si="27"/>
        <v>589.26438</v>
      </c>
      <c r="F623" s="17">
        <f t="shared" si="28"/>
        <v>606.29093</v>
      </c>
      <c r="G623" s="3">
        <f t="shared" si="29"/>
        <v>611.24632</v>
      </c>
      <c r="H623" s="19" t="s">
        <v>1547</v>
      </c>
      <c r="I623" s="3"/>
      <c r="J623" s="3"/>
      <c r="K623" s="8"/>
    </row>
    <row r="624" spans="1:11">
      <c r="A624" s="3">
        <v>628</v>
      </c>
      <c r="B624" s="16" t="s">
        <v>1548</v>
      </c>
      <c r="C624" s="3" t="s">
        <v>1549</v>
      </c>
      <c r="D624" s="17">
        <v>546.2465</v>
      </c>
      <c r="E624" s="17">
        <f t="shared" si="27"/>
        <v>547.25378</v>
      </c>
      <c r="F624" s="17">
        <f t="shared" si="28"/>
        <v>564.28033</v>
      </c>
      <c r="G624" s="3">
        <f t="shared" si="29"/>
        <v>569.23572</v>
      </c>
      <c r="H624" s="21" t="s">
        <v>1550</v>
      </c>
      <c r="I624" s="3"/>
      <c r="J624" s="3"/>
      <c r="K624" s="8"/>
    </row>
    <row r="625" ht="15.6" spans="1:11">
      <c r="A625" s="3">
        <v>629</v>
      </c>
      <c r="B625" s="16" t="s">
        <v>1551</v>
      </c>
      <c r="C625" s="22" t="s">
        <v>1552</v>
      </c>
      <c r="D625" s="17">
        <v>754.2837</v>
      </c>
      <c r="E625" s="17">
        <f t="shared" si="27"/>
        <v>755.29098</v>
      </c>
      <c r="F625" s="17">
        <f t="shared" si="28"/>
        <v>772.31753</v>
      </c>
      <c r="G625" s="3">
        <f t="shared" si="29"/>
        <v>777.27292</v>
      </c>
      <c r="H625" s="19" t="s">
        <v>1553</v>
      </c>
      <c r="I625" s="3"/>
      <c r="J625" s="3"/>
      <c r="K625" s="8"/>
    </row>
    <row r="626" spans="1:11">
      <c r="A626" s="3">
        <v>630</v>
      </c>
      <c r="B626" s="16" t="s">
        <v>1554</v>
      </c>
      <c r="C626" s="18" t="s">
        <v>620</v>
      </c>
      <c r="D626" s="23">
        <v>604.252</v>
      </c>
      <c r="E626" s="17">
        <f t="shared" si="27"/>
        <v>605.25928</v>
      </c>
      <c r="F626" s="17">
        <f t="shared" si="28"/>
        <v>622.28583</v>
      </c>
      <c r="G626" s="3">
        <f t="shared" si="29"/>
        <v>627.24122</v>
      </c>
      <c r="H626" s="21" t="s">
        <v>1555</v>
      </c>
      <c r="I626" s="3"/>
      <c r="J626" s="3"/>
      <c r="K626" s="8"/>
    </row>
    <row r="627" spans="1:11">
      <c r="A627" s="3">
        <v>631</v>
      </c>
      <c r="B627" s="16" t="s">
        <v>1556</v>
      </c>
      <c r="C627" s="3" t="s">
        <v>1557</v>
      </c>
      <c r="D627" s="17">
        <v>921.3783</v>
      </c>
      <c r="E627" s="17">
        <f t="shared" si="27"/>
        <v>922.38558</v>
      </c>
      <c r="F627" s="17">
        <f t="shared" si="28"/>
        <v>939.41213</v>
      </c>
      <c r="G627" s="3">
        <f t="shared" si="29"/>
        <v>944.36752</v>
      </c>
      <c r="H627" s="21" t="s">
        <v>1558</v>
      </c>
      <c r="I627" s="3"/>
      <c r="J627" s="3"/>
      <c r="K627" s="8"/>
    </row>
    <row r="628" spans="1:11">
      <c r="A628" s="3">
        <v>632</v>
      </c>
      <c r="B628" s="16" t="s">
        <v>1559</v>
      </c>
      <c r="C628" s="3" t="s">
        <v>1560</v>
      </c>
      <c r="D628" s="17">
        <v>592.3036</v>
      </c>
      <c r="E628" s="17">
        <f t="shared" si="27"/>
        <v>593.31088</v>
      </c>
      <c r="F628" s="17">
        <f t="shared" si="28"/>
        <v>610.33743</v>
      </c>
      <c r="G628" s="3">
        <f t="shared" si="29"/>
        <v>615.29282</v>
      </c>
      <c r="H628" s="21" t="s">
        <v>1561</v>
      </c>
      <c r="I628" s="3"/>
      <c r="J628" s="3"/>
      <c r="K628" s="8"/>
    </row>
    <row r="629" spans="1:11">
      <c r="A629" s="3">
        <v>633</v>
      </c>
      <c r="B629" s="16" t="s">
        <v>1562</v>
      </c>
      <c r="C629" s="3" t="s">
        <v>1563</v>
      </c>
      <c r="D629" s="17">
        <v>606.2829</v>
      </c>
      <c r="E629" s="17">
        <f t="shared" si="27"/>
        <v>607.29018</v>
      </c>
      <c r="F629" s="17">
        <f t="shared" si="28"/>
        <v>624.31673</v>
      </c>
      <c r="G629" s="3">
        <f t="shared" si="29"/>
        <v>629.27212</v>
      </c>
      <c r="H629" s="3" t="s">
        <v>1564</v>
      </c>
      <c r="I629" s="3"/>
      <c r="J629" s="3"/>
      <c r="K629" s="8"/>
    </row>
    <row r="630" spans="1:11">
      <c r="A630" s="3">
        <v>634</v>
      </c>
      <c r="B630" s="16" t="s">
        <v>1565</v>
      </c>
      <c r="C630" s="3" t="s">
        <v>1566</v>
      </c>
      <c r="D630" s="17">
        <v>544.2308</v>
      </c>
      <c r="E630" s="17">
        <f t="shared" si="27"/>
        <v>545.23808</v>
      </c>
      <c r="F630" s="17">
        <f t="shared" si="28"/>
        <v>562.26463</v>
      </c>
      <c r="G630" s="3">
        <f t="shared" si="29"/>
        <v>567.22002</v>
      </c>
      <c r="H630" s="3" t="s">
        <v>1567</v>
      </c>
      <c r="I630" s="3"/>
      <c r="J630" s="3"/>
      <c r="K630" s="8"/>
    </row>
    <row r="631" spans="1:11">
      <c r="A631" s="24">
        <v>635</v>
      </c>
      <c r="B631" s="24" t="s">
        <v>1568</v>
      </c>
      <c r="C631" s="24" t="s">
        <v>1569</v>
      </c>
      <c r="D631" s="24">
        <v>749.3047</v>
      </c>
      <c r="E631" s="25">
        <f t="shared" si="27"/>
        <v>750.31198</v>
      </c>
      <c r="F631" s="25">
        <f t="shared" si="28"/>
        <v>767.33853</v>
      </c>
      <c r="G631" s="24">
        <f t="shared" si="29"/>
        <v>772.29392</v>
      </c>
      <c r="H631" s="24" t="s">
        <v>1570</v>
      </c>
      <c r="I631" s="26"/>
      <c r="J631" s="26"/>
      <c r="K631" s="27"/>
    </row>
    <row r="632" spans="1:8">
      <c r="A632" s="15">
        <v>636</v>
      </c>
      <c r="B632" s="15" t="s">
        <v>1571</v>
      </c>
      <c r="C632" s="15" t="s">
        <v>1572</v>
      </c>
      <c r="D632" s="15">
        <v>733.3098</v>
      </c>
      <c r="E632" s="25">
        <f t="shared" si="27"/>
        <v>734.31708</v>
      </c>
      <c r="F632" s="25">
        <f t="shared" si="28"/>
        <v>751.34363</v>
      </c>
      <c r="G632" s="24">
        <f t="shared" si="29"/>
        <v>756.29902</v>
      </c>
      <c r="H632" s="15" t="s">
        <v>1573</v>
      </c>
    </row>
    <row r="633" spans="1:8">
      <c r="A633" s="15">
        <v>637</v>
      </c>
      <c r="B633" s="15" t="s">
        <v>1574</v>
      </c>
      <c r="C633" s="15" t="s">
        <v>1575</v>
      </c>
      <c r="D633" s="15">
        <v>426.2254</v>
      </c>
      <c r="E633" s="25">
        <f t="shared" si="27"/>
        <v>427.23268</v>
      </c>
      <c r="F633" s="25">
        <f t="shared" si="28"/>
        <v>444.25923</v>
      </c>
      <c r="G633" s="24">
        <f t="shared" si="29"/>
        <v>449.21462</v>
      </c>
      <c r="H633" s="15" t="s">
        <v>1576</v>
      </c>
    </row>
    <row r="634" spans="1:8">
      <c r="A634" s="15">
        <v>638</v>
      </c>
      <c r="B634" s="15" t="s">
        <v>1574</v>
      </c>
      <c r="C634" s="15" t="s">
        <v>1577</v>
      </c>
      <c r="D634" s="15">
        <v>440.2046</v>
      </c>
      <c r="E634" s="25">
        <f t="shared" si="27"/>
        <v>441.21188</v>
      </c>
      <c r="F634" s="25">
        <f t="shared" si="28"/>
        <v>458.23843</v>
      </c>
      <c r="G634" s="24">
        <f t="shared" si="29"/>
        <v>463.19382</v>
      </c>
      <c r="H634" s="15" t="s">
        <v>1578</v>
      </c>
    </row>
    <row r="635" spans="1:8">
      <c r="A635" s="15">
        <v>639</v>
      </c>
      <c r="B635" s="15" t="s">
        <v>1579</v>
      </c>
      <c r="C635" s="15" t="s">
        <v>535</v>
      </c>
      <c r="D635" s="15">
        <v>544.2308</v>
      </c>
      <c r="E635" s="25">
        <f t="shared" si="27"/>
        <v>545.23808</v>
      </c>
      <c r="F635" s="25">
        <f t="shared" si="28"/>
        <v>562.26463</v>
      </c>
      <c r="G635" s="24">
        <f t="shared" si="29"/>
        <v>567.22002</v>
      </c>
      <c r="H635" s="15" t="s">
        <v>1580</v>
      </c>
    </row>
    <row r="636" spans="1:8">
      <c r="A636" s="15">
        <v>640</v>
      </c>
      <c r="B636" s="15" t="s">
        <v>1581</v>
      </c>
      <c r="C636" s="15" t="s">
        <v>1582</v>
      </c>
      <c r="D636" s="15">
        <v>363.2457</v>
      </c>
      <c r="E636" s="25">
        <f t="shared" si="27"/>
        <v>364.25298</v>
      </c>
      <c r="F636" s="25">
        <f t="shared" si="28"/>
        <v>381.27953</v>
      </c>
      <c r="G636" s="24">
        <f t="shared" si="29"/>
        <v>386.23492</v>
      </c>
      <c r="H636" s="15" t="s">
        <v>1583</v>
      </c>
    </row>
    <row r="637" spans="1:8">
      <c r="A637" s="15">
        <v>641</v>
      </c>
      <c r="B637" s="15" t="s">
        <v>1584</v>
      </c>
      <c r="C637" s="15" t="s">
        <v>1513</v>
      </c>
      <c r="D637" s="15">
        <v>346.2508</v>
      </c>
      <c r="E637" s="15">
        <f t="shared" si="27"/>
        <v>347.25808</v>
      </c>
      <c r="F637" s="15">
        <f t="shared" si="28"/>
        <v>364.28463</v>
      </c>
      <c r="G637" s="24">
        <f t="shared" si="29"/>
        <v>369.24002</v>
      </c>
      <c r="H637" s="15" t="s">
        <v>1585</v>
      </c>
    </row>
  </sheetData>
  <conditionalFormatting sqref="H1:H599 H638:H1048576">
    <cfRule type="duplicateValues" dxfId="0" priority="2"/>
  </conditionalFormatting>
  <conditionalFormatting sqref="H605:H616 H622:H637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yugeng liu</dc:creator>
  <cp:lastModifiedBy>纪宏超</cp:lastModifiedBy>
  <dcterms:created xsi:type="dcterms:W3CDTF">2024-11-18T06:13:00Z</dcterms:created>
  <dcterms:modified xsi:type="dcterms:W3CDTF">2024-11-19T01:45:46Z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AE0CD3C73025434D8BE6378314B6C566_13</vt:lpwstr>
  </property>
  <property fmtid="{D5CDD505-2E9C-101B-9397-08002B2CF9AE}" pid="3" name="KSOProductBuildVer">
    <vt:lpwstr>2052-12.1.0.18912</vt:lpwstr>
  </property>
</Properties>
</file>